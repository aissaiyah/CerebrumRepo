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jd37/Documents/GitHub/NEWS/NEWS/Assets/StreamingAssets/LevelGen/"/>
    </mc:Choice>
  </mc:AlternateContent>
  <xr:revisionPtr revIDLastSave="0" documentId="8_{EBE05EC5-263C-5041-A7BB-0A10E5D4EBD9}" xr6:coauthVersionLast="47" xr6:coauthVersionMax="47" xr10:uidLastSave="{00000000-0000-0000-0000-000000000000}"/>
  <bookViews>
    <workbookView xWindow="300" yWindow="780" windowWidth="28220" windowHeight="14040" xr2:uid="{00000000-000D-0000-FFFF-FFFF00000000}"/>
  </bookViews>
  <sheets>
    <sheet name="LevelGenTestExport" sheetId="1" r:id="rId1"/>
    <sheet name="RoomLocs" sheetId="2" r:id="rId2"/>
    <sheet name="Assets" sheetId="3" r:id="rId3"/>
    <sheet name="AssetLocs" sheetId="4" r:id="rId4"/>
    <sheet name="SubAssets" sheetId="5" r:id="rId5"/>
  </sheets>
  <definedNames>
    <definedName name="Bed">Assets!$A$3:$A$20</definedName>
    <definedName name="BedsideFoot">Assets!$F$2:$F$17</definedName>
    <definedName name="BedsideHead">Assets!$C$2:$C$20</definedName>
    <definedName name="BedsideHeadLeft">Assets!$D$2:$D$20</definedName>
    <definedName name="BedsideMid">Assets!$E$2:$E$17</definedName>
    <definedName name="Bin">Assets!$H$2:$H$15</definedName>
    <definedName name="Cabinet">Assets!$M$2:$M$25</definedName>
    <definedName name="Cart">Assets!$G$2:$G$20</definedName>
    <definedName name="Chair">Assets!$K$2:$K$14</definedName>
    <definedName name="Computer">SubAssets!$D$2:$D$12</definedName>
    <definedName name="Desk">Assets!$J$2:$J$14</definedName>
    <definedName name="Document">SubAssets!$F$2:$F$14</definedName>
    <definedName name="InfusionBag">SubAssets!$A$2:$A$11</definedName>
    <definedName name="InfusionBottle">SubAssets!$B$2:$B$20</definedName>
    <definedName name="InfusionBottleLiquid">SubAssets!$C$2:$C$20</definedName>
    <definedName name="IV">SubAssets!$I$2:$I$22</definedName>
    <definedName name="Misc">SubAssets!$H$2:$H$37</definedName>
    <definedName name="Nurse">Assets!$L$2:$L$13</definedName>
    <definedName name="Patient">SubAssets!$G$2:$G$13</definedName>
    <definedName name="Phone">SubAssets!$E$2:$E$12</definedName>
    <definedName name="RoomLrgDoubleWard_base_locs">RoomLocs!$Q$3:$R$95</definedName>
    <definedName name="RoomLrgPatient_bas_locs">RoomLocs!$G$3:$H$95</definedName>
    <definedName name="RoomMedBreak_3couch_locs">RoomLocs!$C$3:$D$95</definedName>
    <definedName name="RoomMedExam_3bed_locs">RoomLocs!$C$3:$D$95</definedName>
    <definedName name="RoomMedExam_base_locs">RoomLocs!$E$3:$F$95</definedName>
    <definedName name="RoomMedOffice_base_locs">RoomLocs!$K$3:$L$95</definedName>
    <definedName name="RoomMedPatient_3bed_locs">RoomLocs!$C$3:$D$95</definedName>
    <definedName name="RoomSmlStorage_base_locs">RoomLocs!$O$3:$P$95</definedName>
    <definedName name="RoomXLGPatient_Base_locs">RoomLocs!$I$3:$J$98</definedName>
    <definedName name="RoomXLGWaiting_base_locs">RoomLocs!$M$3:$N$95</definedName>
    <definedName name="Screen">Assets!$I$2:$I$20</definedName>
    <definedName name="Wall">Assets!$B$2:$B$20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95" i="1" l="1"/>
  <c r="AB95" i="1"/>
  <c r="AC94" i="1"/>
  <c r="AB94" i="1"/>
  <c r="AC93" i="1"/>
  <c r="AB93" i="1"/>
  <c r="AC92" i="1"/>
  <c r="AB92" i="1"/>
  <c r="AC91" i="1"/>
  <c r="AB91" i="1"/>
  <c r="AC90" i="1"/>
  <c r="AB90" i="1"/>
  <c r="AC89" i="1"/>
  <c r="AB89" i="1"/>
  <c r="AC88" i="1"/>
  <c r="AB88" i="1"/>
  <c r="AC87" i="1"/>
  <c r="AB87" i="1"/>
  <c r="AC86" i="1"/>
  <c r="AB86" i="1"/>
  <c r="AC85" i="1"/>
  <c r="AB85" i="1"/>
  <c r="AC84" i="1"/>
  <c r="AB84" i="1"/>
  <c r="AC83" i="1"/>
  <c r="AB83" i="1"/>
  <c r="AC82" i="1"/>
  <c r="AB82" i="1"/>
  <c r="AC81" i="1"/>
  <c r="AB81" i="1"/>
  <c r="AC80" i="1"/>
  <c r="AB80" i="1"/>
  <c r="AC79" i="1"/>
  <c r="AB79" i="1"/>
  <c r="AC78" i="1"/>
  <c r="AB78" i="1"/>
  <c r="AC77" i="1"/>
  <c r="AB77" i="1"/>
  <c r="AC76" i="1"/>
  <c r="AB76" i="1"/>
  <c r="AC75" i="1"/>
  <c r="AB75" i="1"/>
  <c r="AC74" i="1"/>
  <c r="AB74" i="1"/>
  <c r="AC73" i="1"/>
  <c r="AB73" i="1"/>
  <c r="AC72" i="1"/>
  <c r="AB72" i="1"/>
  <c r="AC71" i="1"/>
  <c r="AB71" i="1"/>
  <c r="AC70" i="1"/>
  <c r="AB70" i="1"/>
  <c r="AC69" i="1"/>
  <c r="AB69" i="1"/>
  <c r="AC68" i="1"/>
  <c r="AB68" i="1"/>
  <c r="AC67" i="1"/>
  <c r="AB67" i="1"/>
  <c r="AC66" i="1"/>
  <c r="AB66" i="1"/>
  <c r="AC65" i="1"/>
  <c r="AB65" i="1"/>
  <c r="AC64" i="1"/>
  <c r="AB64" i="1"/>
  <c r="AC63" i="1"/>
  <c r="AB63" i="1"/>
  <c r="AC62" i="1"/>
  <c r="AB62" i="1"/>
  <c r="AC61" i="1"/>
  <c r="AB61" i="1"/>
  <c r="AC60" i="1"/>
  <c r="AB60" i="1"/>
  <c r="AC59" i="1"/>
  <c r="AB59" i="1"/>
  <c r="AC58" i="1"/>
  <c r="AB58" i="1"/>
  <c r="AC57" i="1"/>
  <c r="AB57" i="1"/>
  <c r="AC56" i="1"/>
  <c r="AB56" i="1"/>
  <c r="AC55" i="1"/>
  <c r="AB55" i="1"/>
  <c r="Z95" i="1"/>
  <c r="Y95" i="1"/>
  <c r="Z94" i="1"/>
  <c r="Y94" i="1"/>
  <c r="Z93" i="1"/>
  <c r="Y93" i="1"/>
  <c r="Z92" i="1"/>
  <c r="Y92" i="1"/>
  <c r="Z91" i="1"/>
  <c r="Y91" i="1"/>
  <c r="Z90" i="1"/>
  <c r="Y90" i="1"/>
  <c r="Z89" i="1"/>
  <c r="Y89" i="1"/>
  <c r="Z88" i="1"/>
  <c r="Y88" i="1"/>
  <c r="Z87" i="1"/>
  <c r="Y87" i="1"/>
  <c r="Z86" i="1"/>
  <c r="Y86" i="1"/>
  <c r="Z85" i="1"/>
  <c r="Y85" i="1"/>
  <c r="Z84" i="1"/>
  <c r="Y84" i="1"/>
  <c r="Z83" i="1"/>
  <c r="Y83" i="1"/>
  <c r="Z82" i="1"/>
  <c r="Y82" i="1"/>
  <c r="Z81" i="1"/>
  <c r="Y81" i="1"/>
  <c r="Z80" i="1"/>
  <c r="Y80" i="1"/>
  <c r="Z79" i="1"/>
  <c r="Y79" i="1"/>
  <c r="Z78" i="1"/>
  <c r="Y78" i="1"/>
  <c r="Z77" i="1"/>
  <c r="Y77" i="1"/>
  <c r="Z76" i="1"/>
  <c r="Y76" i="1"/>
  <c r="Z75" i="1"/>
  <c r="Y75" i="1"/>
  <c r="Z74" i="1"/>
  <c r="Y74" i="1"/>
  <c r="Z73" i="1"/>
  <c r="Y73" i="1"/>
  <c r="Z72" i="1"/>
  <c r="Y72" i="1"/>
  <c r="Z71" i="1"/>
  <c r="Y71" i="1"/>
  <c r="Z70" i="1"/>
  <c r="Y70" i="1"/>
  <c r="Z69" i="1"/>
  <c r="Y69" i="1"/>
  <c r="Z68" i="1"/>
  <c r="Y68" i="1"/>
  <c r="Z67" i="1"/>
  <c r="Y67" i="1"/>
  <c r="Z66" i="1"/>
  <c r="Y66" i="1"/>
  <c r="Z65" i="1"/>
  <c r="Y65" i="1"/>
  <c r="Z64" i="1"/>
  <c r="Y64" i="1"/>
  <c r="Z63" i="1"/>
  <c r="Y63" i="1"/>
  <c r="Z62" i="1"/>
  <c r="Y62" i="1"/>
  <c r="Z61" i="1"/>
  <c r="Y61" i="1"/>
  <c r="Z60" i="1"/>
  <c r="Y60" i="1"/>
  <c r="Z59" i="1"/>
  <c r="Y59" i="1"/>
  <c r="Z58" i="1"/>
  <c r="Y58" i="1"/>
  <c r="Z57" i="1"/>
  <c r="Y57" i="1"/>
  <c r="Z56" i="1"/>
  <c r="Y56" i="1"/>
  <c r="Z55" i="1"/>
  <c r="Y55" i="1"/>
  <c r="W95" i="1"/>
  <c r="V95" i="1"/>
  <c r="W94" i="1"/>
  <c r="V94" i="1"/>
  <c r="W93" i="1"/>
  <c r="V93" i="1"/>
  <c r="W92" i="1"/>
  <c r="V92" i="1"/>
  <c r="W91" i="1"/>
  <c r="V91" i="1"/>
  <c r="W90" i="1"/>
  <c r="V90" i="1"/>
  <c r="W89" i="1"/>
  <c r="V89" i="1"/>
  <c r="W88" i="1"/>
  <c r="V88" i="1"/>
  <c r="W87" i="1"/>
  <c r="V87" i="1"/>
  <c r="W86" i="1"/>
  <c r="V86" i="1"/>
  <c r="W85" i="1"/>
  <c r="V85" i="1"/>
  <c r="W84" i="1"/>
  <c r="V84" i="1"/>
  <c r="W83" i="1"/>
  <c r="V83" i="1"/>
  <c r="W82" i="1"/>
  <c r="V82" i="1"/>
  <c r="W81" i="1"/>
  <c r="V81" i="1"/>
  <c r="W80" i="1"/>
  <c r="V80" i="1"/>
  <c r="W79" i="1"/>
  <c r="V79" i="1"/>
  <c r="W78" i="1"/>
  <c r="V78" i="1"/>
  <c r="W77" i="1"/>
  <c r="V77" i="1"/>
  <c r="W76" i="1"/>
  <c r="V76" i="1"/>
  <c r="W75" i="1"/>
  <c r="V75" i="1"/>
  <c r="W74" i="1"/>
  <c r="V74" i="1"/>
  <c r="W73" i="1"/>
  <c r="V73" i="1"/>
  <c r="W72" i="1"/>
  <c r="V72" i="1"/>
  <c r="W71" i="1"/>
  <c r="V71" i="1"/>
  <c r="W70" i="1"/>
  <c r="V70" i="1"/>
  <c r="W69" i="1"/>
  <c r="V69" i="1"/>
  <c r="W68" i="1"/>
  <c r="V68" i="1"/>
  <c r="W67" i="1"/>
  <c r="V67" i="1"/>
  <c r="W66" i="1"/>
  <c r="V66" i="1"/>
  <c r="W65" i="1"/>
  <c r="V65" i="1"/>
  <c r="W64" i="1"/>
  <c r="V64" i="1"/>
  <c r="W63" i="1"/>
  <c r="V63" i="1"/>
  <c r="W62" i="1"/>
  <c r="V62" i="1"/>
  <c r="W61" i="1"/>
  <c r="V61" i="1"/>
  <c r="W60" i="1"/>
  <c r="V60" i="1"/>
  <c r="W59" i="1"/>
  <c r="V59" i="1"/>
  <c r="W58" i="1"/>
  <c r="V58" i="1"/>
  <c r="W57" i="1"/>
  <c r="V57" i="1"/>
  <c r="W56" i="1"/>
  <c r="V56" i="1"/>
  <c r="W55" i="1"/>
  <c r="V55" i="1"/>
  <c r="T95" i="1"/>
  <c r="S95" i="1"/>
  <c r="T94" i="1"/>
  <c r="S94" i="1"/>
  <c r="T93" i="1"/>
  <c r="S93" i="1"/>
  <c r="T92" i="1"/>
  <c r="S92" i="1"/>
  <c r="T91" i="1"/>
  <c r="S91" i="1"/>
  <c r="T90" i="1"/>
  <c r="S90" i="1"/>
  <c r="T89" i="1"/>
  <c r="S89" i="1"/>
  <c r="T88" i="1"/>
  <c r="S88" i="1"/>
  <c r="T87" i="1"/>
  <c r="S87" i="1"/>
  <c r="T86" i="1"/>
  <c r="S86" i="1"/>
  <c r="T85" i="1"/>
  <c r="S85" i="1"/>
  <c r="T84" i="1"/>
  <c r="S84" i="1"/>
  <c r="T83" i="1"/>
  <c r="S83" i="1"/>
  <c r="T82" i="1"/>
  <c r="S82" i="1"/>
  <c r="T81" i="1"/>
  <c r="S81" i="1"/>
  <c r="T80" i="1"/>
  <c r="S80" i="1"/>
  <c r="T79" i="1"/>
  <c r="S79" i="1"/>
  <c r="T78" i="1"/>
  <c r="S78" i="1"/>
  <c r="T77" i="1"/>
  <c r="S77" i="1"/>
  <c r="T76" i="1"/>
  <c r="S76" i="1"/>
  <c r="T75" i="1"/>
  <c r="S75" i="1"/>
  <c r="T74" i="1"/>
  <c r="S74" i="1"/>
  <c r="T73" i="1"/>
  <c r="S73" i="1"/>
  <c r="T72" i="1"/>
  <c r="S72" i="1"/>
  <c r="T71" i="1"/>
  <c r="S71" i="1"/>
  <c r="T70" i="1"/>
  <c r="S70" i="1"/>
  <c r="T69" i="1"/>
  <c r="S69" i="1"/>
  <c r="T68" i="1"/>
  <c r="S68" i="1"/>
  <c r="T67" i="1"/>
  <c r="S67" i="1"/>
  <c r="T66" i="1"/>
  <c r="S66" i="1"/>
  <c r="T65" i="1"/>
  <c r="S65" i="1"/>
  <c r="T64" i="1"/>
  <c r="S64" i="1"/>
  <c r="T63" i="1"/>
  <c r="S63" i="1"/>
  <c r="T62" i="1"/>
  <c r="S62" i="1"/>
  <c r="T61" i="1"/>
  <c r="S61" i="1"/>
  <c r="T60" i="1"/>
  <c r="S60" i="1"/>
  <c r="T59" i="1"/>
  <c r="S59" i="1"/>
  <c r="T58" i="1"/>
  <c r="S58" i="1"/>
  <c r="T57" i="1"/>
  <c r="S57" i="1"/>
  <c r="T56" i="1"/>
  <c r="S56" i="1"/>
  <c r="T55" i="1"/>
  <c r="S55" i="1"/>
  <c r="Q95" i="1"/>
  <c r="P95" i="1"/>
  <c r="Q94" i="1"/>
  <c r="P94" i="1"/>
  <c r="Q93" i="1"/>
  <c r="P93" i="1"/>
  <c r="Q92" i="1"/>
  <c r="P92" i="1"/>
  <c r="Q91" i="1"/>
  <c r="P91" i="1"/>
  <c r="Q90" i="1"/>
  <c r="P90" i="1"/>
  <c r="Q89" i="1"/>
  <c r="P89" i="1"/>
  <c r="Q88" i="1"/>
  <c r="P88" i="1"/>
  <c r="Q87" i="1"/>
  <c r="P87" i="1"/>
  <c r="Q86" i="1"/>
  <c r="P86" i="1"/>
  <c r="Q85" i="1"/>
  <c r="P85" i="1"/>
  <c r="Q84" i="1"/>
  <c r="P84" i="1"/>
  <c r="Q83" i="1"/>
  <c r="P83" i="1"/>
  <c r="Q82" i="1"/>
  <c r="P82" i="1"/>
  <c r="Q81" i="1"/>
  <c r="P81" i="1"/>
  <c r="Q80" i="1"/>
  <c r="P80" i="1"/>
  <c r="Q79" i="1"/>
  <c r="P79" i="1"/>
  <c r="Q78" i="1"/>
  <c r="P78" i="1"/>
  <c r="Q77" i="1"/>
  <c r="P77" i="1"/>
  <c r="Q76" i="1"/>
  <c r="P76" i="1"/>
  <c r="Q75" i="1"/>
  <c r="P75" i="1"/>
  <c r="Q74" i="1"/>
  <c r="P74" i="1"/>
  <c r="Q73" i="1"/>
  <c r="P73" i="1"/>
  <c r="Q72" i="1"/>
  <c r="P72" i="1"/>
  <c r="Q71" i="1"/>
  <c r="P71" i="1"/>
  <c r="Q70" i="1"/>
  <c r="P70" i="1"/>
  <c r="Q69" i="1"/>
  <c r="P69" i="1"/>
  <c r="Q68" i="1"/>
  <c r="P68" i="1"/>
  <c r="Q67" i="1"/>
  <c r="P67" i="1"/>
  <c r="Q66" i="1"/>
  <c r="P66" i="1"/>
  <c r="Q65" i="1"/>
  <c r="P65" i="1"/>
  <c r="Q64" i="1"/>
  <c r="P64" i="1"/>
  <c r="Q63" i="1"/>
  <c r="P63" i="1"/>
  <c r="Q62" i="1"/>
  <c r="P62" i="1"/>
  <c r="Q61" i="1"/>
  <c r="P61" i="1"/>
  <c r="Q60" i="1"/>
  <c r="P60" i="1"/>
  <c r="Q59" i="1"/>
  <c r="P59" i="1"/>
  <c r="Q58" i="1"/>
  <c r="P58" i="1"/>
  <c r="Q57" i="1"/>
  <c r="P57" i="1"/>
  <c r="Q56" i="1"/>
  <c r="P56" i="1"/>
  <c r="Q55" i="1"/>
  <c r="P55" i="1"/>
  <c r="N95" i="1"/>
  <c r="M95" i="1"/>
  <c r="N94" i="1"/>
  <c r="M94" i="1"/>
  <c r="N93" i="1"/>
  <c r="M93" i="1"/>
  <c r="N92" i="1"/>
  <c r="M92" i="1"/>
  <c r="N91" i="1"/>
  <c r="M91" i="1"/>
  <c r="N90" i="1"/>
  <c r="M90" i="1"/>
  <c r="N89" i="1"/>
  <c r="M89" i="1"/>
  <c r="N88" i="1"/>
  <c r="M88" i="1"/>
  <c r="N87" i="1"/>
  <c r="M87" i="1"/>
  <c r="N86" i="1"/>
  <c r="M86" i="1"/>
  <c r="N85" i="1"/>
  <c r="M85" i="1"/>
  <c r="N84" i="1"/>
  <c r="M84" i="1"/>
  <c r="N83" i="1"/>
  <c r="M83" i="1"/>
  <c r="N82" i="1"/>
  <c r="M82" i="1"/>
  <c r="N81" i="1"/>
  <c r="M81" i="1"/>
  <c r="N80" i="1"/>
  <c r="M80" i="1"/>
  <c r="N79" i="1"/>
  <c r="M79" i="1"/>
  <c r="N78" i="1"/>
  <c r="M78" i="1"/>
  <c r="N77" i="1"/>
  <c r="M77" i="1"/>
  <c r="N76" i="1"/>
  <c r="M76" i="1"/>
  <c r="N75" i="1"/>
  <c r="M75" i="1"/>
  <c r="N74" i="1"/>
  <c r="M74" i="1"/>
  <c r="N73" i="1"/>
  <c r="M73" i="1"/>
  <c r="N72" i="1"/>
  <c r="M72" i="1"/>
  <c r="N71" i="1"/>
  <c r="M71" i="1"/>
  <c r="N70" i="1"/>
  <c r="M70" i="1"/>
  <c r="N69" i="1"/>
  <c r="M69" i="1"/>
  <c r="N68" i="1"/>
  <c r="M68" i="1"/>
  <c r="N67" i="1"/>
  <c r="M67" i="1"/>
  <c r="N66" i="1"/>
  <c r="M66" i="1"/>
  <c r="N65" i="1"/>
  <c r="M65" i="1"/>
  <c r="N64" i="1"/>
  <c r="M64" i="1"/>
  <c r="N63" i="1"/>
  <c r="M63" i="1"/>
  <c r="N62" i="1"/>
  <c r="M62" i="1"/>
  <c r="N61" i="1"/>
  <c r="M61" i="1"/>
  <c r="N60" i="1"/>
  <c r="M60" i="1"/>
  <c r="N59" i="1"/>
  <c r="M59" i="1"/>
  <c r="N58" i="1"/>
  <c r="M58" i="1"/>
  <c r="N57" i="1"/>
  <c r="M57" i="1"/>
  <c r="N56" i="1"/>
  <c r="M56" i="1"/>
  <c r="N55" i="1"/>
  <c r="M55" i="1"/>
  <c r="K95" i="1"/>
  <c r="J95" i="1"/>
  <c r="K94" i="1"/>
  <c r="J94" i="1"/>
  <c r="K93" i="1"/>
  <c r="J93" i="1"/>
  <c r="K92" i="1"/>
  <c r="J92" i="1"/>
  <c r="K91" i="1"/>
  <c r="J91" i="1"/>
  <c r="K90" i="1"/>
  <c r="J90" i="1"/>
  <c r="K89" i="1"/>
  <c r="J89" i="1"/>
  <c r="K88" i="1"/>
  <c r="J88" i="1"/>
  <c r="K87" i="1"/>
  <c r="J87" i="1"/>
  <c r="K86" i="1"/>
  <c r="J86" i="1"/>
  <c r="K85" i="1"/>
  <c r="J85" i="1"/>
  <c r="K84" i="1"/>
  <c r="J84" i="1"/>
  <c r="K83" i="1"/>
  <c r="J83" i="1"/>
  <c r="K82" i="1"/>
  <c r="J82" i="1"/>
  <c r="K81" i="1"/>
  <c r="J81" i="1"/>
  <c r="K80" i="1"/>
  <c r="J80" i="1"/>
  <c r="K79" i="1"/>
  <c r="J79" i="1"/>
  <c r="K78" i="1"/>
  <c r="J78" i="1"/>
  <c r="K77" i="1"/>
  <c r="J77" i="1"/>
  <c r="K76" i="1"/>
  <c r="J76" i="1"/>
  <c r="K75" i="1"/>
  <c r="J75" i="1"/>
  <c r="K74" i="1"/>
  <c r="J74" i="1"/>
  <c r="K73" i="1"/>
  <c r="J73" i="1"/>
  <c r="K72" i="1"/>
  <c r="J72" i="1"/>
  <c r="K71" i="1"/>
  <c r="J71" i="1"/>
  <c r="K70" i="1"/>
  <c r="J70" i="1"/>
  <c r="K69" i="1"/>
  <c r="J69" i="1"/>
  <c r="K68" i="1"/>
  <c r="J68" i="1"/>
  <c r="K67" i="1"/>
  <c r="J67" i="1"/>
  <c r="K66" i="1"/>
  <c r="J66" i="1"/>
  <c r="K65" i="1"/>
  <c r="J65" i="1"/>
  <c r="K64" i="1"/>
  <c r="J64" i="1"/>
  <c r="K63" i="1"/>
  <c r="J63" i="1"/>
  <c r="K62" i="1"/>
  <c r="J62" i="1"/>
  <c r="K61" i="1"/>
  <c r="J61" i="1"/>
  <c r="K60" i="1"/>
  <c r="J60" i="1"/>
  <c r="K59" i="1"/>
  <c r="J59" i="1"/>
  <c r="K58" i="1"/>
  <c r="J58" i="1"/>
  <c r="K57" i="1"/>
  <c r="J57" i="1"/>
  <c r="K56" i="1"/>
  <c r="J56" i="1"/>
  <c r="K55" i="1"/>
  <c r="J55" i="1"/>
  <c r="H95" i="1"/>
  <c r="G95" i="1"/>
  <c r="H94" i="1"/>
  <c r="G94" i="1"/>
  <c r="H93" i="1"/>
  <c r="G93" i="1"/>
  <c r="H92" i="1"/>
  <c r="G92" i="1"/>
  <c r="H91" i="1"/>
  <c r="G91" i="1"/>
  <c r="H90" i="1"/>
  <c r="G90" i="1"/>
  <c r="H89" i="1"/>
  <c r="G89" i="1"/>
  <c r="H88" i="1"/>
  <c r="G88" i="1"/>
  <c r="H87" i="1"/>
  <c r="G87" i="1"/>
  <c r="H86" i="1"/>
  <c r="G86" i="1"/>
  <c r="H85" i="1"/>
  <c r="G85" i="1"/>
  <c r="H84" i="1"/>
  <c r="G84" i="1"/>
  <c r="H83" i="1"/>
  <c r="G83" i="1"/>
  <c r="H82" i="1"/>
  <c r="G82" i="1"/>
  <c r="H81" i="1"/>
  <c r="G81" i="1"/>
  <c r="H80" i="1"/>
  <c r="G80" i="1"/>
  <c r="H79" i="1"/>
  <c r="G79" i="1"/>
  <c r="H78" i="1"/>
  <c r="G78" i="1"/>
  <c r="H77" i="1"/>
  <c r="G77" i="1"/>
  <c r="H76" i="1"/>
  <c r="G76" i="1"/>
  <c r="H75" i="1"/>
  <c r="G75" i="1"/>
  <c r="H74" i="1"/>
  <c r="G74" i="1"/>
  <c r="H73" i="1"/>
  <c r="G73" i="1"/>
  <c r="H72" i="1"/>
  <c r="G72" i="1"/>
  <c r="H71" i="1"/>
  <c r="G71" i="1"/>
  <c r="H70" i="1"/>
  <c r="G70" i="1"/>
  <c r="H69" i="1"/>
  <c r="G69" i="1"/>
  <c r="H68" i="1"/>
  <c r="G68" i="1"/>
  <c r="H67" i="1"/>
  <c r="G67" i="1"/>
  <c r="H66" i="1"/>
  <c r="G66" i="1"/>
  <c r="H65" i="1"/>
  <c r="G65" i="1"/>
  <c r="H64" i="1"/>
  <c r="G64" i="1"/>
  <c r="H63" i="1"/>
  <c r="G63" i="1"/>
  <c r="H62" i="1"/>
  <c r="G62" i="1"/>
  <c r="H61" i="1"/>
  <c r="G61" i="1"/>
  <c r="H60" i="1"/>
  <c r="G60" i="1"/>
  <c r="H59" i="1"/>
  <c r="G59" i="1"/>
  <c r="H58" i="1"/>
  <c r="G58" i="1"/>
  <c r="H57" i="1"/>
  <c r="G57" i="1"/>
  <c r="H56" i="1"/>
  <c r="G56" i="1"/>
  <c r="H55" i="1"/>
  <c r="G55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AC54" i="1"/>
  <c r="AB54" i="1"/>
  <c r="AC53" i="1"/>
  <c r="AB53" i="1"/>
  <c r="AC52" i="1"/>
  <c r="AB52" i="1"/>
  <c r="AC51" i="1"/>
  <c r="AB51" i="1"/>
  <c r="AC50" i="1"/>
  <c r="AB50" i="1"/>
  <c r="AC49" i="1"/>
  <c r="AB49" i="1"/>
  <c r="AC48" i="1"/>
  <c r="AB48" i="1"/>
  <c r="AC47" i="1"/>
  <c r="AB47" i="1"/>
  <c r="AC46" i="1"/>
  <c r="AB46" i="1"/>
  <c r="AC45" i="1"/>
  <c r="AB45" i="1"/>
  <c r="AC44" i="1"/>
  <c r="AB44" i="1"/>
  <c r="AC43" i="1"/>
  <c r="AB43" i="1"/>
  <c r="AC42" i="1"/>
  <c r="AB42" i="1"/>
  <c r="AC41" i="1"/>
  <c r="AB41" i="1"/>
  <c r="AC40" i="1"/>
  <c r="AB40" i="1"/>
  <c r="AC39" i="1"/>
  <c r="AB39" i="1"/>
  <c r="AC38" i="1"/>
  <c r="AB38" i="1"/>
  <c r="AC37" i="1"/>
  <c r="AB37" i="1"/>
  <c r="AC36" i="1"/>
  <c r="AB36" i="1"/>
  <c r="AC35" i="1"/>
  <c r="AB35" i="1"/>
  <c r="AC34" i="1"/>
  <c r="AB34" i="1"/>
  <c r="AC33" i="1"/>
  <c r="AB33" i="1"/>
  <c r="AC32" i="1"/>
  <c r="AB32" i="1"/>
  <c r="AC31" i="1"/>
  <c r="AB31" i="1"/>
  <c r="AC30" i="1"/>
  <c r="AB30" i="1"/>
  <c r="AC29" i="1"/>
  <c r="AB29" i="1"/>
  <c r="AC28" i="1"/>
  <c r="AB28" i="1"/>
  <c r="AC27" i="1"/>
  <c r="AB27" i="1"/>
  <c r="AC26" i="1"/>
  <c r="AB26" i="1"/>
  <c r="AC25" i="1"/>
  <c r="AB25" i="1"/>
  <c r="AC24" i="1"/>
  <c r="AB24" i="1"/>
  <c r="AC23" i="1"/>
  <c r="AB23" i="1"/>
  <c r="AC22" i="1"/>
  <c r="AB22" i="1"/>
  <c r="AC21" i="1"/>
  <c r="AB21" i="1"/>
  <c r="AC20" i="1"/>
  <c r="AB20" i="1"/>
  <c r="AC19" i="1"/>
  <c r="AB19" i="1"/>
  <c r="AC18" i="1"/>
  <c r="AB18" i="1"/>
  <c r="AC17" i="1"/>
  <c r="AB17" i="1"/>
  <c r="AC16" i="1"/>
  <c r="AB16" i="1"/>
  <c r="AC15" i="1"/>
  <c r="AB15" i="1"/>
  <c r="AC14" i="1"/>
  <c r="AB14" i="1"/>
  <c r="AC13" i="1"/>
  <c r="AB13" i="1"/>
  <c r="AC12" i="1"/>
  <c r="AB12" i="1"/>
  <c r="AC11" i="1"/>
  <c r="AB11" i="1"/>
  <c r="AC10" i="1"/>
  <c r="AB10" i="1"/>
  <c r="AC9" i="1"/>
  <c r="AB9" i="1"/>
  <c r="AC8" i="1"/>
  <c r="AB8" i="1"/>
  <c r="AC7" i="1"/>
  <c r="AB7" i="1"/>
  <c r="AC6" i="1"/>
  <c r="AB6" i="1"/>
  <c r="AC5" i="1"/>
  <c r="AB5" i="1"/>
  <c r="Z54" i="1"/>
  <c r="Y54" i="1"/>
  <c r="Z53" i="1"/>
  <c r="Y53" i="1"/>
  <c r="Z52" i="1"/>
  <c r="Y52" i="1"/>
  <c r="Z51" i="1"/>
  <c r="Y51" i="1"/>
  <c r="Z50" i="1"/>
  <c r="Y50" i="1"/>
  <c r="Z49" i="1"/>
  <c r="Y49" i="1"/>
  <c r="Z48" i="1"/>
  <c r="Y48" i="1"/>
  <c r="Z47" i="1"/>
  <c r="Y47" i="1"/>
  <c r="Z46" i="1"/>
  <c r="Y46" i="1"/>
  <c r="Z45" i="1"/>
  <c r="Y45" i="1"/>
  <c r="Z44" i="1"/>
  <c r="Y44" i="1"/>
  <c r="Z43" i="1"/>
  <c r="Y43" i="1"/>
  <c r="Z42" i="1"/>
  <c r="Y42" i="1"/>
  <c r="Z41" i="1"/>
  <c r="Y41" i="1"/>
  <c r="Z40" i="1"/>
  <c r="Y40" i="1"/>
  <c r="Z39" i="1"/>
  <c r="Y39" i="1"/>
  <c r="Z38" i="1"/>
  <c r="Y38" i="1"/>
  <c r="Z37" i="1"/>
  <c r="Y37" i="1"/>
  <c r="Z36" i="1"/>
  <c r="Y36" i="1"/>
  <c r="Z35" i="1"/>
  <c r="Y35" i="1"/>
  <c r="Z34" i="1"/>
  <c r="Y34" i="1"/>
  <c r="Z33" i="1"/>
  <c r="Y33" i="1"/>
  <c r="Z32" i="1"/>
  <c r="Y32" i="1"/>
  <c r="Z31" i="1"/>
  <c r="Y31" i="1"/>
  <c r="Z30" i="1"/>
  <c r="Y30" i="1"/>
  <c r="Z29" i="1"/>
  <c r="Y29" i="1"/>
  <c r="Z28" i="1"/>
  <c r="Y28" i="1"/>
  <c r="Z27" i="1"/>
  <c r="Y27" i="1"/>
  <c r="Z26" i="1"/>
  <c r="Y26" i="1"/>
  <c r="Z25" i="1"/>
  <c r="Y25" i="1"/>
  <c r="Z24" i="1"/>
  <c r="Y24" i="1"/>
  <c r="Z23" i="1"/>
  <c r="Y23" i="1"/>
  <c r="Z22" i="1"/>
  <c r="Y22" i="1"/>
  <c r="Z21" i="1"/>
  <c r="Y21" i="1"/>
  <c r="Z20" i="1"/>
  <c r="Y20" i="1"/>
  <c r="Z19" i="1"/>
  <c r="Y19" i="1"/>
  <c r="Z18" i="1"/>
  <c r="Y18" i="1"/>
  <c r="Z17" i="1"/>
  <c r="Y17" i="1"/>
  <c r="Z16" i="1"/>
  <c r="Y16" i="1"/>
  <c r="Z15" i="1"/>
  <c r="Y15" i="1"/>
  <c r="Z14" i="1"/>
  <c r="Y14" i="1"/>
  <c r="Z13" i="1"/>
  <c r="Y13" i="1"/>
  <c r="Z12" i="1"/>
  <c r="Y12" i="1"/>
  <c r="Z11" i="1"/>
  <c r="Y11" i="1"/>
  <c r="Z10" i="1"/>
  <c r="Y10" i="1"/>
  <c r="Z9" i="1"/>
  <c r="Y9" i="1"/>
  <c r="Z8" i="1"/>
  <c r="Y8" i="1"/>
  <c r="Z7" i="1"/>
  <c r="Y7" i="1"/>
  <c r="Z6" i="1"/>
  <c r="Y6" i="1"/>
  <c r="Z5" i="1"/>
  <c r="Y5" i="1"/>
  <c r="W54" i="1"/>
  <c r="V54" i="1"/>
  <c r="W53" i="1"/>
  <c r="V53" i="1"/>
  <c r="W52" i="1"/>
  <c r="V52" i="1"/>
  <c r="W51" i="1"/>
  <c r="V51" i="1"/>
  <c r="W50" i="1"/>
  <c r="V50" i="1"/>
  <c r="W49" i="1"/>
  <c r="V49" i="1"/>
  <c r="W48" i="1"/>
  <c r="V48" i="1"/>
  <c r="W47" i="1"/>
  <c r="V47" i="1"/>
  <c r="W46" i="1"/>
  <c r="V46" i="1"/>
  <c r="W45" i="1"/>
  <c r="V45" i="1"/>
  <c r="W44" i="1"/>
  <c r="V44" i="1"/>
  <c r="W43" i="1"/>
  <c r="V43" i="1"/>
  <c r="W42" i="1"/>
  <c r="V42" i="1"/>
  <c r="W41" i="1"/>
  <c r="V41" i="1"/>
  <c r="W40" i="1"/>
  <c r="V40" i="1"/>
  <c r="W39" i="1"/>
  <c r="V39" i="1"/>
  <c r="W38" i="1"/>
  <c r="V38" i="1"/>
  <c r="W37" i="1"/>
  <c r="V37" i="1"/>
  <c r="W36" i="1"/>
  <c r="V36" i="1"/>
  <c r="W35" i="1"/>
  <c r="V35" i="1"/>
  <c r="W34" i="1"/>
  <c r="V34" i="1"/>
  <c r="W33" i="1"/>
  <c r="V33" i="1"/>
  <c r="W32" i="1"/>
  <c r="V32" i="1"/>
  <c r="W31" i="1"/>
  <c r="V31" i="1"/>
  <c r="W30" i="1"/>
  <c r="V30" i="1"/>
  <c r="W29" i="1"/>
  <c r="V29" i="1"/>
  <c r="W28" i="1"/>
  <c r="V28" i="1"/>
  <c r="W27" i="1"/>
  <c r="V27" i="1"/>
  <c r="W26" i="1"/>
  <c r="V26" i="1"/>
  <c r="W25" i="1"/>
  <c r="V25" i="1"/>
  <c r="W24" i="1"/>
  <c r="V24" i="1"/>
  <c r="W23" i="1"/>
  <c r="V23" i="1"/>
  <c r="W22" i="1"/>
  <c r="V22" i="1"/>
  <c r="W21" i="1"/>
  <c r="V21" i="1"/>
  <c r="W20" i="1"/>
  <c r="V20" i="1"/>
  <c r="W19" i="1"/>
  <c r="V19" i="1"/>
  <c r="W18" i="1"/>
  <c r="V18" i="1"/>
  <c r="W17" i="1"/>
  <c r="V17" i="1"/>
  <c r="W16" i="1"/>
  <c r="V16" i="1"/>
  <c r="W15" i="1"/>
  <c r="V15" i="1"/>
  <c r="W14" i="1"/>
  <c r="V14" i="1"/>
  <c r="W13" i="1"/>
  <c r="V13" i="1"/>
  <c r="W12" i="1"/>
  <c r="V12" i="1"/>
  <c r="W11" i="1"/>
  <c r="V11" i="1"/>
  <c r="W10" i="1"/>
  <c r="V10" i="1"/>
  <c r="W9" i="1"/>
  <c r="V9" i="1"/>
  <c r="W8" i="1"/>
  <c r="V8" i="1"/>
  <c r="W7" i="1"/>
  <c r="V7" i="1"/>
  <c r="W6" i="1"/>
  <c r="V6" i="1"/>
  <c r="W5" i="1"/>
  <c r="V5" i="1"/>
  <c r="T54" i="1"/>
  <c r="S54" i="1"/>
  <c r="T53" i="1"/>
  <c r="S53" i="1"/>
  <c r="T52" i="1"/>
  <c r="S52" i="1"/>
  <c r="T51" i="1"/>
  <c r="S51" i="1"/>
  <c r="T50" i="1"/>
  <c r="S50" i="1"/>
  <c r="T49" i="1"/>
  <c r="S49" i="1"/>
  <c r="T48" i="1"/>
  <c r="S48" i="1"/>
  <c r="T47" i="1"/>
  <c r="S47" i="1"/>
  <c r="T46" i="1"/>
  <c r="S46" i="1"/>
  <c r="T45" i="1"/>
  <c r="S45" i="1"/>
  <c r="T44" i="1"/>
  <c r="S44" i="1"/>
  <c r="T43" i="1"/>
  <c r="S43" i="1"/>
  <c r="T42" i="1"/>
  <c r="S42" i="1"/>
  <c r="T41" i="1"/>
  <c r="S41" i="1"/>
  <c r="T40" i="1"/>
  <c r="S40" i="1"/>
  <c r="T39" i="1"/>
  <c r="S39" i="1"/>
  <c r="T38" i="1"/>
  <c r="S38" i="1"/>
  <c r="T37" i="1"/>
  <c r="S37" i="1"/>
  <c r="T36" i="1"/>
  <c r="S36" i="1"/>
  <c r="T35" i="1"/>
  <c r="S35" i="1"/>
  <c r="T34" i="1"/>
  <c r="S34" i="1"/>
  <c r="T33" i="1"/>
  <c r="S33" i="1"/>
  <c r="T32" i="1"/>
  <c r="S32" i="1"/>
  <c r="T31" i="1"/>
  <c r="S31" i="1"/>
  <c r="T30" i="1"/>
  <c r="S30" i="1"/>
  <c r="T29" i="1"/>
  <c r="S29" i="1"/>
  <c r="T28" i="1"/>
  <c r="S28" i="1"/>
  <c r="T27" i="1"/>
  <c r="S27" i="1"/>
  <c r="T26" i="1"/>
  <c r="S26" i="1"/>
  <c r="T25" i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10" i="1"/>
  <c r="S10" i="1"/>
  <c r="T9" i="1"/>
  <c r="S9" i="1"/>
  <c r="T8" i="1"/>
  <c r="S8" i="1"/>
  <c r="T7" i="1"/>
  <c r="S7" i="1"/>
  <c r="T6" i="1"/>
  <c r="S6" i="1"/>
  <c r="T5" i="1"/>
  <c r="S5" i="1"/>
  <c r="Q54" i="1"/>
  <c r="P54" i="1"/>
  <c r="Q53" i="1"/>
  <c r="P53" i="1"/>
  <c r="Q52" i="1"/>
  <c r="P52" i="1"/>
  <c r="Q51" i="1"/>
  <c r="P51" i="1"/>
  <c r="Q50" i="1"/>
  <c r="P50" i="1"/>
  <c r="Q49" i="1"/>
  <c r="P49" i="1"/>
  <c r="Q48" i="1"/>
  <c r="P48" i="1"/>
  <c r="Q47" i="1"/>
  <c r="P47" i="1"/>
  <c r="Q46" i="1"/>
  <c r="P46" i="1"/>
  <c r="Q45" i="1"/>
  <c r="P45" i="1"/>
  <c r="Q44" i="1"/>
  <c r="P44" i="1"/>
  <c r="Q43" i="1"/>
  <c r="P43" i="1"/>
  <c r="Q42" i="1"/>
  <c r="P42" i="1"/>
  <c r="Q41" i="1"/>
  <c r="P41" i="1"/>
  <c r="Q40" i="1"/>
  <c r="P40" i="1"/>
  <c r="Q39" i="1"/>
  <c r="P39" i="1"/>
  <c r="Q38" i="1"/>
  <c r="P38" i="1"/>
  <c r="Q37" i="1"/>
  <c r="P37" i="1"/>
  <c r="Q36" i="1"/>
  <c r="P36" i="1"/>
  <c r="Q35" i="1"/>
  <c r="P35" i="1"/>
  <c r="Q34" i="1"/>
  <c r="P34" i="1"/>
  <c r="Q33" i="1"/>
  <c r="P33" i="1"/>
  <c r="Q32" i="1"/>
  <c r="P32" i="1"/>
  <c r="Q31" i="1"/>
  <c r="P31" i="1"/>
  <c r="Q30" i="1"/>
  <c r="P30" i="1"/>
  <c r="Q29" i="1"/>
  <c r="P29" i="1"/>
  <c r="Q28" i="1"/>
  <c r="P28" i="1"/>
  <c r="Q27" i="1"/>
  <c r="P27" i="1"/>
  <c r="Q26" i="1"/>
  <c r="P26" i="1"/>
  <c r="Q25" i="1"/>
  <c r="P25" i="1"/>
  <c r="Q24" i="1"/>
  <c r="P24" i="1"/>
  <c r="Q23" i="1"/>
  <c r="P23" i="1"/>
  <c r="Q22" i="1"/>
  <c r="P22" i="1"/>
  <c r="Q21" i="1"/>
  <c r="P21" i="1"/>
  <c r="Q20" i="1"/>
  <c r="P20" i="1"/>
  <c r="Q19" i="1"/>
  <c r="P19" i="1"/>
  <c r="Q18" i="1"/>
  <c r="P18" i="1"/>
  <c r="Q17" i="1"/>
  <c r="P17" i="1"/>
  <c r="Q16" i="1"/>
  <c r="P16" i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K5" i="1"/>
  <c r="J8" i="1"/>
  <c r="J5" i="1"/>
  <c r="D41" i="1"/>
  <c r="A61" i="1" a="1"/>
  <c r="A87" i="1" a="1"/>
  <c r="A86" i="1" a="1"/>
  <c r="B64" i="1" a="1"/>
  <c r="A75" i="1" a="1"/>
  <c r="A66" i="1" a="1"/>
  <c r="B70" i="1" a="1"/>
  <c r="B69" i="1" a="1"/>
  <c r="B74" i="1" a="1"/>
  <c r="A71" i="1" a="1"/>
  <c r="A70" i="1" a="1"/>
  <c r="A73" i="1" a="1"/>
  <c r="B67" i="1" a="1"/>
  <c r="B75" i="1" a="1"/>
  <c r="A67" i="1" a="1"/>
  <c r="A89" i="1" a="1"/>
  <c r="A81" i="1" a="1"/>
  <c r="B68" i="1" a="1"/>
  <c r="A92" i="1" a="1"/>
  <c r="B88" i="1" a="1"/>
  <c r="B65" i="1" a="1"/>
  <c r="A82" i="1" a="1"/>
  <c r="B82" i="1" a="1"/>
  <c r="A91" i="1" a="1"/>
  <c r="B72" i="1" a="1"/>
  <c r="A80" i="1" a="1"/>
  <c r="A88" i="1" a="1"/>
  <c r="A95" i="1" a="1"/>
  <c r="B92" i="1" a="1"/>
  <c r="B87" i="1" a="1"/>
  <c r="B62" i="1" a="1"/>
  <c r="B83" i="1" a="1"/>
  <c r="B86" i="1" a="1"/>
  <c r="A69" i="1" a="1"/>
  <c r="B95" i="1" a="1"/>
  <c r="B93" i="1" a="1"/>
  <c r="B89" i="1" a="1"/>
  <c r="B79" i="1" a="1"/>
  <c r="A93" i="1" a="1"/>
  <c r="A72" i="1" a="1"/>
  <c r="B85" i="1" a="1"/>
  <c r="B61" i="1" a="1"/>
  <c r="B76" i="1" a="1"/>
  <c r="A83" i="1" a="1"/>
  <c r="B73" i="1" a="1"/>
  <c r="A77" i="1" a="1"/>
  <c r="B91" i="1" a="1"/>
  <c r="B81" i="1" a="1"/>
  <c r="B90" i="1" a="1"/>
  <c r="B94" i="1" a="1"/>
  <c r="B71" i="1" a="1"/>
  <c r="A65" i="1" a="1"/>
  <c r="A64" i="1" a="1"/>
  <c r="B66" i="1" a="1"/>
  <c r="A79" i="1" a="1"/>
  <c r="B63" i="1" a="1"/>
  <c r="A62" i="1" a="1"/>
  <c r="A78" i="1" a="1"/>
  <c r="A84" i="1" a="1"/>
  <c r="B78" i="1" a="1"/>
  <c r="A76" i="1" a="1"/>
  <c r="A63" i="1" a="1"/>
  <c r="A94" i="1" a="1"/>
  <c r="A74" i="1" a="1"/>
  <c r="B77" i="1" a="1"/>
  <c r="B80" i="1" a="1"/>
  <c r="B84" i="1" a="1"/>
  <c r="A68" i="1" a="1"/>
  <c r="A85" i="1" a="1"/>
  <c r="A90" i="1" a="1"/>
  <c r="B62" i="1" l="1"/>
  <c r="A62" i="1"/>
  <c r="A64" i="1"/>
  <c r="A66" i="1"/>
  <c r="A68" i="1"/>
  <c r="A70" i="1"/>
  <c r="A72" i="1"/>
  <c r="A74" i="1"/>
  <c r="A76" i="1"/>
  <c r="A78" i="1"/>
  <c r="A80" i="1"/>
  <c r="A82" i="1"/>
  <c r="A84" i="1"/>
  <c r="A86" i="1"/>
  <c r="A88" i="1"/>
  <c r="A90" i="1"/>
  <c r="A92" i="1"/>
  <c r="A94" i="1"/>
  <c r="B64" i="1"/>
  <c r="B66" i="1"/>
  <c r="B68" i="1"/>
  <c r="B70" i="1"/>
  <c r="B72" i="1"/>
  <c r="B74" i="1"/>
  <c r="B76" i="1"/>
  <c r="B78" i="1"/>
  <c r="B80" i="1"/>
  <c r="B82" i="1"/>
  <c r="B84" i="1"/>
  <c r="B86" i="1"/>
  <c r="B88" i="1"/>
  <c r="B90" i="1"/>
  <c r="B92" i="1"/>
  <c r="B94" i="1"/>
  <c r="A61" i="1"/>
  <c r="A63" i="1"/>
  <c r="A65" i="1"/>
  <c r="A67" i="1"/>
  <c r="A69" i="1"/>
  <c r="A71" i="1"/>
  <c r="A73" i="1"/>
  <c r="A75" i="1"/>
  <c r="A77" i="1"/>
  <c r="A79" i="1"/>
  <c r="A81" i="1"/>
  <c r="A83" i="1"/>
  <c r="A85" i="1"/>
  <c r="A87" i="1"/>
  <c r="A89" i="1"/>
  <c r="A91" i="1"/>
  <c r="A93" i="1"/>
  <c r="A95" i="1"/>
  <c r="B61" i="1"/>
  <c r="B65" i="1"/>
  <c r="B69" i="1"/>
  <c r="B71" i="1"/>
  <c r="B73" i="1"/>
  <c r="B75" i="1"/>
  <c r="B77" i="1"/>
  <c r="B79" i="1"/>
  <c r="B83" i="1"/>
  <c r="B85" i="1"/>
  <c r="B87" i="1"/>
  <c r="B89" i="1"/>
  <c r="B91" i="1"/>
  <c r="B93" i="1"/>
  <c r="B95" i="1"/>
  <c r="B63" i="1"/>
  <c r="B67" i="1"/>
  <c r="B81" i="1"/>
  <c r="N54" i="1"/>
  <c r="M54" i="1"/>
  <c r="K54" i="1"/>
  <c r="J54" i="1"/>
  <c r="H54" i="1"/>
  <c r="G54" i="1"/>
  <c r="E54" i="1"/>
  <c r="D54" i="1"/>
  <c r="N53" i="1"/>
  <c r="M53" i="1"/>
  <c r="K53" i="1"/>
  <c r="J53" i="1"/>
  <c r="H53" i="1"/>
  <c r="G53" i="1"/>
  <c r="E53" i="1"/>
  <c r="D53" i="1"/>
  <c r="N52" i="1"/>
  <c r="M52" i="1"/>
  <c r="K52" i="1"/>
  <c r="J52" i="1"/>
  <c r="H52" i="1"/>
  <c r="G52" i="1"/>
  <c r="E52" i="1"/>
  <c r="D52" i="1"/>
  <c r="N51" i="1"/>
  <c r="M51" i="1"/>
  <c r="K51" i="1"/>
  <c r="J51" i="1"/>
  <c r="H51" i="1"/>
  <c r="G51" i="1"/>
  <c r="E51" i="1"/>
  <c r="D51" i="1"/>
  <c r="N50" i="1"/>
  <c r="M50" i="1"/>
  <c r="K50" i="1"/>
  <c r="J50" i="1"/>
  <c r="H50" i="1"/>
  <c r="G50" i="1"/>
  <c r="E50" i="1"/>
  <c r="D50" i="1"/>
  <c r="N49" i="1"/>
  <c r="M49" i="1"/>
  <c r="K49" i="1"/>
  <c r="J49" i="1"/>
  <c r="H49" i="1"/>
  <c r="G49" i="1"/>
  <c r="E49" i="1"/>
  <c r="D49" i="1"/>
  <c r="N48" i="1"/>
  <c r="M48" i="1"/>
  <c r="K48" i="1"/>
  <c r="J48" i="1"/>
  <c r="H48" i="1"/>
  <c r="G48" i="1"/>
  <c r="E48" i="1"/>
  <c r="D48" i="1"/>
  <c r="N47" i="1"/>
  <c r="M47" i="1"/>
  <c r="K47" i="1"/>
  <c r="J47" i="1"/>
  <c r="H47" i="1"/>
  <c r="G47" i="1"/>
  <c r="E47" i="1"/>
  <c r="D47" i="1"/>
  <c r="N46" i="1"/>
  <c r="M46" i="1"/>
  <c r="K46" i="1"/>
  <c r="J46" i="1"/>
  <c r="H46" i="1"/>
  <c r="G46" i="1"/>
  <c r="E46" i="1"/>
  <c r="D46" i="1"/>
  <c r="N45" i="1"/>
  <c r="M45" i="1"/>
  <c r="K45" i="1"/>
  <c r="J45" i="1"/>
  <c r="H45" i="1"/>
  <c r="G45" i="1"/>
  <c r="E45" i="1"/>
  <c r="D45" i="1"/>
  <c r="N44" i="1"/>
  <c r="M44" i="1"/>
  <c r="K44" i="1"/>
  <c r="J44" i="1"/>
  <c r="H44" i="1"/>
  <c r="G44" i="1"/>
  <c r="E44" i="1"/>
  <c r="D44" i="1"/>
  <c r="N43" i="1"/>
  <c r="M43" i="1"/>
  <c r="K43" i="1"/>
  <c r="J43" i="1"/>
  <c r="H43" i="1"/>
  <c r="G43" i="1"/>
  <c r="E43" i="1"/>
  <c r="D43" i="1"/>
  <c r="N42" i="1"/>
  <c r="M42" i="1"/>
  <c r="K42" i="1"/>
  <c r="J42" i="1"/>
  <c r="H42" i="1"/>
  <c r="G42" i="1"/>
  <c r="E42" i="1"/>
  <c r="D42" i="1"/>
  <c r="N41" i="1"/>
  <c r="M41" i="1"/>
  <c r="K41" i="1"/>
  <c r="J41" i="1"/>
  <c r="H41" i="1"/>
  <c r="G41" i="1"/>
  <c r="E41" i="1"/>
  <c r="N40" i="1"/>
  <c r="M40" i="1"/>
  <c r="K40" i="1"/>
  <c r="J40" i="1"/>
  <c r="H40" i="1"/>
  <c r="G40" i="1"/>
  <c r="E40" i="1"/>
  <c r="D40" i="1"/>
  <c r="N39" i="1"/>
  <c r="M39" i="1"/>
  <c r="K39" i="1"/>
  <c r="J39" i="1"/>
  <c r="H39" i="1"/>
  <c r="G39" i="1"/>
  <c r="E39" i="1"/>
  <c r="D39" i="1"/>
  <c r="N38" i="1"/>
  <c r="M38" i="1"/>
  <c r="K38" i="1"/>
  <c r="J38" i="1"/>
  <c r="H38" i="1"/>
  <c r="G38" i="1"/>
  <c r="E38" i="1"/>
  <c r="D38" i="1"/>
  <c r="N37" i="1"/>
  <c r="M37" i="1"/>
  <c r="K37" i="1"/>
  <c r="J37" i="1"/>
  <c r="H37" i="1"/>
  <c r="G37" i="1"/>
  <c r="E37" i="1"/>
  <c r="D37" i="1"/>
  <c r="N36" i="1"/>
  <c r="M36" i="1"/>
  <c r="K36" i="1"/>
  <c r="J36" i="1"/>
  <c r="H36" i="1"/>
  <c r="G36" i="1"/>
  <c r="E36" i="1"/>
  <c r="D36" i="1"/>
  <c r="N35" i="1"/>
  <c r="M35" i="1"/>
  <c r="K35" i="1"/>
  <c r="J35" i="1"/>
  <c r="H35" i="1"/>
  <c r="G35" i="1"/>
  <c r="E35" i="1"/>
  <c r="D35" i="1"/>
  <c r="N34" i="1"/>
  <c r="M34" i="1"/>
  <c r="K34" i="1"/>
  <c r="J34" i="1"/>
  <c r="H34" i="1"/>
  <c r="G34" i="1"/>
  <c r="E34" i="1"/>
  <c r="D34" i="1"/>
  <c r="N33" i="1"/>
  <c r="M33" i="1"/>
  <c r="K33" i="1"/>
  <c r="J33" i="1"/>
  <c r="H33" i="1"/>
  <c r="G33" i="1"/>
  <c r="E33" i="1"/>
  <c r="D33" i="1"/>
  <c r="N32" i="1"/>
  <c r="M32" i="1"/>
  <c r="K32" i="1"/>
  <c r="J32" i="1"/>
  <c r="H32" i="1"/>
  <c r="G32" i="1"/>
  <c r="E32" i="1"/>
  <c r="D32" i="1"/>
  <c r="N31" i="1"/>
  <c r="M31" i="1"/>
  <c r="K31" i="1"/>
  <c r="J31" i="1"/>
  <c r="H31" i="1"/>
  <c r="G31" i="1"/>
  <c r="E31" i="1"/>
  <c r="D31" i="1"/>
  <c r="N30" i="1"/>
  <c r="M30" i="1"/>
  <c r="K30" i="1"/>
  <c r="J30" i="1"/>
  <c r="H30" i="1"/>
  <c r="G30" i="1"/>
  <c r="E30" i="1"/>
  <c r="D30" i="1"/>
  <c r="N29" i="1"/>
  <c r="M29" i="1"/>
  <c r="K29" i="1"/>
  <c r="J29" i="1"/>
  <c r="H29" i="1"/>
  <c r="G29" i="1"/>
  <c r="E29" i="1"/>
  <c r="D29" i="1"/>
  <c r="N28" i="1"/>
  <c r="M28" i="1"/>
  <c r="K28" i="1"/>
  <c r="J28" i="1"/>
  <c r="H28" i="1"/>
  <c r="G28" i="1"/>
  <c r="E28" i="1"/>
  <c r="D28" i="1"/>
  <c r="N27" i="1"/>
  <c r="M27" i="1"/>
  <c r="K27" i="1"/>
  <c r="J27" i="1"/>
  <c r="H27" i="1"/>
  <c r="G27" i="1"/>
  <c r="E27" i="1"/>
  <c r="D27" i="1"/>
  <c r="N26" i="1"/>
  <c r="M26" i="1"/>
  <c r="K26" i="1"/>
  <c r="J26" i="1"/>
  <c r="H26" i="1"/>
  <c r="G26" i="1"/>
  <c r="E26" i="1"/>
  <c r="D26" i="1"/>
  <c r="N25" i="1"/>
  <c r="M25" i="1"/>
  <c r="K25" i="1"/>
  <c r="J25" i="1"/>
  <c r="H25" i="1"/>
  <c r="G25" i="1"/>
  <c r="E25" i="1"/>
  <c r="D25" i="1"/>
  <c r="N24" i="1"/>
  <c r="M24" i="1"/>
  <c r="K24" i="1"/>
  <c r="J24" i="1"/>
  <c r="H24" i="1"/>
  <c r="G24" i="1"/>
  <c r="E24" i="1"/>
  <c r="D24" i="1"/>
  <c r="N23" i="1"/>
  <c r="M23" i="1"/>
  <c r="K23" i="1"/>
  <c r="J23" i="1"/>
  <c r="H23" i="1"/>
  <c r="G23" i="1"/>
  <c r="E23" i="1"/>
  <c r="D23" i="1"/>
  <c r="N22" i="1"/>
  <c r="M22" i="1"/>
  <c r="K22" i="1"/>
  <c r="J22" i="1"/>
  <c r="H22" i="1"/>
  <c r="G22" i="1"/>
  <c r="E22" i="1"/>
  <c r="D22" i="1"/>
  <c r="N21" i="1"/>
  <c r="M21" i="1"/>
  <c r="K21" i="1"/>
  <c r="J21" i="1"/>
  <c r="H21" i="1"/>
  <c r="G21" i="1"/>
  <c r="E21" i="1"/>
  <c r="D21" i="1"/>
  <c r="N20" i="1"/>
  <c r="M20" i="1"/>
  <c r="K20" i="1"/>
  <c r="J20" i="1"/>
  <c r="H20" i="1"/>
  <c r="G20" i="1"/>
  <c r="E20" i="1"/>
  <c r="D20" i="1"/>
  <c r="N19" i="1"/>
  <c r="M19" i="1"/>
  <c r="K19" i="1"/>
  <c r="J19" i="1"/>
  <c r="H19" i="1"/>
  <c r="G19" i="1"/>
  <c r="E19" i="1"/>
  <c r="D19" i="1"/>
  <c r="A34" i="1" a="1"/>
  <c r="B25" i="1" a="1"/>
  <c r="A49" i="1" a="1"/>
  <c r="B36" i="1" a="1"/>
  <c r="A35" i="1" a="1"/>
  <c r="B26" i="1" a="1"/>
  <c r="B19" i="1" a="1"/>
  <c r="A56" i="1" a="1"/>
  <c r="A47" i="1" a="1"/>
  <c r="A33" i="1" a="1"/>
  <c r="A20" i="1" a="1"/>
  <c r="B38" i="1" a="1"/>
  <c r="B43" i="1" a="1"/>
  <c r="B20" i="1" a="1"/>
  <c r="B33" i="1" a="1"/>
  <c r="B45" i="1" a="1"/>
  <c r="A48" i="1" a="1"/>
  <c r="B27" i="1" a="1"/>
  <c r="A46" i="1" a="1"/>
  <c r="B35" i="1" a="1"/>
  <c r="B55" i="1" a="1"/>
  <c r="B58" i="1" a="1"/>
  <c r="A25" i="1" a="1"/>
  <c r="B57" i="1" a="1"/>
  <c r="B49" i="1" a="1"/>
  <c r="A30" i="1" a="1"/>
  <c r="A45" i="1" a="1"/>
  <c r="A60" i="1" a="1"/>
  <c r="B46" i="1" a="1"/>
  <c r="B31" i="1" a="1"/>
  <c r="B30" i="1" a="1"/>
  <c r="B48" i="1" a="1"/>
  <c r="A24" i="1" a="1"/>
  <c r="A40" i="1" a="1"/>
  <c r="B21" i="1" a="1"/>
  <c r="B47" i="1" a="1"/>
  <c r="B40" i="1" a="1"/>
  <c r="A53" i="1" a="1"/>
  <c r="B54" i="1" a="1"/>
  <c r="A26" i="1" a="1"/>
  <c r="A29" i="1" a="1"/>
  <c r="B32" i="1" a="1"/>
  <c r="A19" i="1" a="1"/>
  <c r="A28" i="1" a="1"/>
  <c r="B22" i="1" a="1"/>
  <c r="A54" i="1" a="1"/>
  <c r="A23" i="1" a="1"/>
  <c r="A44" i="1" a="1"/>
  <c r="B39" i="1" a="1"/>
  <c r="B34" i="1" a="1"/>
  <c r="B52" i="1" a="1"/>
  <c r="A37" i="1" a="1"/>
  <c r="A41" i="1" a="1"/>
  <c r="B29" i="1" a="1"/>
  <c r="B42" i="1" a="1"/>
  <c r="B24" i="1" a="1"/>
  <c r="A43" i="1" a="1"/>
  <c r="B23" i="1" a="1"/>
  <c r="B53" i="1" a="1"/>
  <c r="A36" i="1" a="1"/>
  <c r="B37" i="1" a="1"/>
  <c r="A52" i="1" a="1"/>
  <c r="B28" i="1" a="1"/>
  <c r="A31" i="1" a="1"/>
  <c r="A50" i="1" a="1"/>
  <c r="A38" i="1" a="1"/>
  <c r="B56" i="1" a="1"/>
  <c r="B44" i="1" a="1"/>
  <c r="A32" i="1" a="1"/>
  <c r="A39" i="1" a="1"/>
  <c r="B41" i="1" a="1"/>
  <c r="A22" i="1" a="1"/>
  <c r="A27" i="1" a="1"/>
  <c r="B50" i="1" a="1"/>
  <c r="B59" i="1" a="1"/>
  <c r="A51" i="1" a="1"/>
  <c r="B51" i="1" a="1"/>
  <c r="A21" i="1" a="1"/>
  <c r="A55" i="1" a="1"/>
  <c r="A59" i="1" a="1"/>
  <c r="A42" i="1" a="1"/>
  <c r="A58" i="1" a="1"/>
  <c r="A57" i="1" a="1"/>
  <c r="B60" i="1" a="1"/>
  <c r="B26" i="1" l="1"/>
  <c r="A21" i="1"/>
  <c r="A25" i="1"/>
  <c r="A31" i="1"/>
  <c r="A33" i="1"/>
  <c r="A35" i="1"/>
  <c r="A37" i="1"/>
  <c r="A39" i="1"/>
  <c r="A41" i="1"/>
  <c r="A43" i="1"/>
  <c r="A45" i="1"/>
  <c r="A47" i="1"/>
  <c r="A49" i="1"/>
  <c r="A51" i="1"/>
  <c r="A53" i="1"/>
  <c r="A55" i="1"/>
  <c r="A57" i="1"/>
  <c r="A59" i="1"/>
  <c r="B19" i="1"/>
  <c r="A19" i="1"/>
  <c r="A23" i="1"/>
  <c r="A27" i="1"/>
  <c r="A29" i="1"/>
  <c r="B27" i="1"/>
  <c r="B33" i="1"/>
  <c r="B35" i="1"/>
  <c r="B37" i="1"/>
  <c r="B39" i="1"/>
  <c r="B41" i="1"/>
  <c r="B43" i="1"/>
  <c r="B45" i="1"/>
  <c r="B47" i="1"/>
  <c r="B49" i="1"/>
  <c r="B51" i="1"/>
  <c r="B53" i="1"/>
  <c r="B55" i="1"/>
  <c r="B57" i="1"/>
  <c r="B59" i="1"/>
  <c r="B21" i="1"/>
  <c r="B25" i="1"/>
  <c r="B29" i="1"/>
  <c r="B31" i="1"/>
  <c r="A22" i="1"/>
  <c r="A26" i="1"/>
  <c r="A30" i="1"/>
  <c r="A32" i="1"/>
  <c r="A36" i="1"/>
  <c r="A38" i="1"/>
  <c r="A40" i="1"/>
  <c r="A42" i="1"/>
  <c r="A44" i="1"/>
  <c r="A46" i="1"/>
  <c r="A48" i="1"/>
  <c r="A50" i="1"/>
  <c r="A52" i="1"/>
  <c r="A54" i="1"/>
  <c r="A56" i="1"/>
  <c r="A58" i="1"/>
  <c r="A60" i="1"/>
  <c r="B23" i="1"/>
  <c r="A20" i="1"/>
  <c r="A24" i="1"/>
  <c r="A28" i="1"/>
  <c r="A34" i="1"/>
  <c r="B20" i="1"/>
  <c r="B22" i="1"/>
  <c r="B24" i="1"/>
  <c r="B28" i="1"/>
  <c r="B32" i="1"/>
  <c r="B36" i="1"/>
  <c r="B38" i="1"/>
  <c r="B40" i="1"/>
  <c r="B42" i="1"/>
  <c r="B44" i="1"/>
  <c r="B46" i="1"/>
  <c r="B48" i="1"/>
  <c r="B50" i="1"/>
  <c r="B52" i="1"/>
  <c r="B54" i="1"/>
  <c r="B56" i="1"/>
  <c r="B58" i="1"/>
  <c r="B60" i="1"/>
  <c r="B30" i="1"/>
  <c r="B34" i="1"/>
  <c r="N18" i="1"/>
  <c r="M18" i="1"/>
  <c r="K18" i="1"/>
  <c r="J18" i="1"/>
  <c r="H18" i="1"/>
  <c r="G18" i="1"/>
  <c r="N17" i="1"/>
  <c r="M17" i="1"/>
  <c r="K17" i="1"/>
  <c r="J17" i="1"/>
  <c r="H17" i="1"/>
  <c r="G17" i="1"/>
  <c r="N16" i="1"/>
  <c r="M16" i="1"/>
  <c r="K16" i="1"/>
  <c r="J16" i="1"/>
  <c r="H16" i="1"/>
  <c r="G16" i="1"/>
  <c r="N15" i="1"/>
  <c r="M15" i="1"/>
  <c r="K15" i="1"/>
  <c r="J15" i="1"/>
  <c r="H15" i="1"/>
  <c r="G15" i="1"/>
  <c r="N14" i="1"/>
  <c r="M14" i="1"/>
  <c r="K14" i="1"/>
  <c r="J14" i="1"/>
  <c r="H14" i="1"/>
  <c r="G14" i="1"/>
  <c r="N13" i="1"/>
  <c r="M13" i="1"/>
  <c r="K13" i="1"/>
  <c r="J13" i="1"/>
  <c r="H13" i="1"/>
  <c r="G13" i="1"/>
  <c r="N12" i="1"/>
  <c r="M12" i="1"/>
  <c r="K12" i="1"/>
  <c r="J12" i="1"/>
  <c r="H12" i="1"/>
  <c r="G12" i="1"/>
  <c r="N11" i="1"/>
  <c r="M11" i="1"/>
  <c r="K11" i="1"/>
  <c r="J11" i="1"/>
  <c r="H11" i="1"/>
  <c r="G11" i="1"/>
  <c r="N10" i="1"/>
  <c r="M10" i="1"/>
  <c r="K10" i="1"/>
  <c r="J10" i="1"/>
  <c r="H10" i="1"/>
  <c r="G10" i="1"/>
  <c r="N9" i="1"/>
  <c r="M9" i="1"/>
  <c r="K9" i="1"/>
  <c r="J9" i="1"/>
  <c r="H9" i="1"/>
  <c r="G9" i="1"/>
  <c r="N8" i="1"/>
  <c r="M8" i="1"/>
  <c r="K8" i="1"/>
  <c r="H8" i="1"/>
  <c r="G8" i="1"/>
  <c r="N7" i="1"/>
  <c r="M7" i="1"/>
  <c r="K7" i="1"/>
  <c r="J7" i="1"/>
  <c r="H7" i="1"/>
  <c r="G7" i="1"/>
  <c r="N6" i="1"/>
  <c r="M6" i="1"/>
  <c r="K6" i="1"/>
  <c r="J6" i="1"/>
  <c r="H6" i="1"/>
  <c r="G6" i="1"/>
  <c r="N5" i="1"/>
  <c r="M5" i="1"/>
  <c r="H5" i="1"/>
  <c r="G5" i="1"/>
  <c r="E18" i="1" l="1"/>
  <c r="D18" i="1"/>
  <c r="E17" i="1"/>
  <c r="D17" i="1"/>
  <c r="E16" i="1"/>
  <c r="D16" i="1"/>
  <c r="E15" i="1"/>
  <c r="D15" i="1"/>
  <c r="E14" i="1" l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A18" i="1" a="1"/>
  <c r="A14" i="1" a="1"/>
  <c r="B18" i="1" a="1"/>
  <c r="B6" i="1" a="1"/>
  <c r="A10" i="1" a="1"/>
  <c r="B5" i="1" a="1"/>
  <c r="A5" i="1" a="1"/>
  <c r="A7" i="1" a="1"/>
  <c r="A15" i="1" a="1"/>
  <c r="B13" i="1" a="1"/>
  <c r="A16" i="1" a="1"/>
  <c r="A6" i="1" a="1"/>
  <c r="A11" i="1" a="1"/>
  <c r="B12" i="1" a="1"/>
  <c r="A9" i="1" a="1"/>
  <c r="B10" i="1" a="1"/>
  <c r="B9" i="1" a="1"/>
  <c r="B7" i="1" a="1"/>
  <c r="B14" i="1" a="1"/>
  <c r="A8" i="1" a="1"/>
  <c r="B16" i="1" a="1"/>
  <c r="A13" i="1" a="1"/>
  <c r="B8" i="1" a="1"/>
  <c r="B17" i="1" a="1"/>
  <c r="A17" i="1" a="1"/>
  <c r="B11" i="1" a="1"/>
  <c r="A12" i="1" a="1"/>
  <c r="B15" i="1" a="1"/>
  <c r="B14" i="1" l="1"/>
  <c r="A14" i="1"/>
  <c r="A15" i="1"/>
  <c r="A16" i="1"/>
  <c r="A17" i="1"/>
  <c r="A18" i="1"/>
  <c r="B15" i="1"/>
  <c r="B16" i="1"/>
  <c r="B17" i="1"/>
  <c r="B18" i="1"/>
  <c r="A6" i="1"/>
  <c r="A7" i="1"/>
  <c r="A8" i="1"/>
  <c r="A9" i="1"/>
  <c r="A10" i="1"/>
  <c r="A11" i="1"/>
  <c r="A12" i="1"/>
  <c r="A13" i="1"/>
  <c r="B6" i="1"/>
  <c r="B7" i="1"/>
  <c r="B8" i="1"/>
  <c r="B9" i="1"/>
  <c r="B10" i="1"/>
  <c r="B11" i="1"/>
  <c r="B12" i="1"/>
  <c r="B13" i="1"/>
  <c r="B5" i="1"/>
  <c r="A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<sst xmlns="http://schemas.openxmlformats.org/spreadsheetml/2006/main" count="538" uniqueCount="163">
  <si>
    <t>Room</t>
  </si>
  <si>
    <t>RoomMedPatient_3bed</t>
  </si>
  <si>
    <t>RoomMedBreak_3couch</t>
  </si>
  <si>
    <t>RoomMedExam_base</t>
  </si>
  <si>
    <t>RoomMedExam_3bed</t>
  </si>
  <si>
    <t>ROOM NAMES (SCENES)</t>
  </si>
  <si>
    <t>LEAVE BLANK</t>
  </si>
  <si>
    <t>ASSET LOCATIONS</t>
  </si>
  <si>
    <t>Bed</t>
  </si>
  <si>
    <t>Wall</t>
  </si>
  <si>
    <t>Screen</t>
  </si>
  <si>
    <t>LOCATION NUMBERS</t>
  </si>
  <si>
    <t>RoomMedBreak_3couch_locs</t>
  </si>
  <si>
    <t>RoomMedExam_base_locs</t>
  </si>
  <si>
    <t>RoomMedExam_3bed_locs</t>
  </si>
  <si>
    <t>RoomMedPatient_3bed_locs</t>
  </si>
  <si>
    <t>0</t>
  </si>
  <si>
    <t>RoomLrgPatient_base</t>
  </si>
  <si>
    <t>RoomLrgPatient_bas_locs</t>
  </si>
  <si>
    <t>Loc.</t>
  </si>
  <si>
    <t>#</t>
  </si>
  <si>
    <t>Asset Name</t>
  </si>
  <si>
    <t>Sub Loc.</t>
  </si>
  <si>
    <t>Sub Asset</t>
  </si>
  <si>
    <t>InfusionBag</t>
  </si>
  <si>
    <t>Poster01</t>
  </si>
  <si>
    <t>Poster02</t>
  </si>
  <si>
    <t>Poster03</t>
  </si>
  <si>
    <t>Poster04</t>
  </si>
  <si>
    <t>Poster05</t>
  </si>
  <si>
    <t>Poster06</t>
  </si>
  <si>
    <t>Poster07</t>
  </si>
  <si>
    <t>NoticeBoard01</t>
  </si>
  <si>
    <t>Trolley01</t>
  </si>
  <si>
    <t>Trolley03</t>
  </si>
  <si>
    <t>Trolley02</t>
  </si>
  <si>
    <t>XRayViewBox01</t>
  </si>
  <si>
    <t>XRayViewBox02</t>
  </si>
  <si>
    <t>PrivacyScreen01</t>
  </si>
  <si>
    <t>PrivacyScreen02</t>
  </si>
  <si>
    <t>Cart</t>
  </si>
  <si>
    <t>GenAnaesthesiaMachine01</t>
  </si>
  <si>
    <t>InfusionBag01</t>
  </si>
  <si>
    <t>InfusionBag03</t>
  </si>
  <si>
    <t>InfusionBag04</t>
  </si>
  <si>
    <t>InfusionBag05</t>
  </si>
  <si>
    <t>InfusionBag02</t>
  </si>
  <si>
    <t>RackInfusionBag01</t>
  </si>
  <si>
    <t>RackInfusionBag02</t>
  </si>
  <si>
    <t>ExaminationBed01</t>
  </si>
  <si>
    <t>OperatingTable01</t>
  </si>
  <si>
    <t>PatientBed01</t>
  </si>
  <si>
    <t>NoSmokingSign01</t>
  </si>
  <si>
    <t>BathroomMirror01</t>
  </si>
  <si>
    <t>RackInfusionBottle01</t>
  </si>
  <si>
    <t>RackInfusionBottle02</t>
  </si>
  <si>
    <t>BedsideHead</t>
  </si>
  <si>
    <t>BedsideMid</t>
  </si>
  <si>
    <t>BedsideFoot</t>
  </si>
  <si>
    <t>ENABLE MACROS!</t>
  </si>
  <si>
    <t>Level Gen. Designer Tool</t>
  </si>
  <si>
    <t>RoomXLGPatient_Base_locs</t>
  </si>
  <si>
    <t>RoomXLGPatient_base</t>
  </si>
  <si>
    <t>InfusionBottle</t>
  </si>
  <si>
    <t>InfusionBottle01</t>
  </si>
  <si>
    <t>InfusionBottle02</t>
  </si>
  <si>
    <t>InfusionBottle03</t>
  </si>
  <si>
    <t>InfusionBottle04</t>
  </si>
  <si>
    <t>InfusionBottleLiquid</t>
  </si>
  <si>
    <t>InfusionBottleLiquid01</t>
  </si>
  <si>
    <t>InfusionBottleLiquid02</t>
  </si>
  <si>
    <t>InfusionBottleLiquid03</t>
  </si>
  <si>
    <t>RoomMedOffice_base</t>
  </si>
  <si>
    <t>RoomMedOffice_base_locs</t>
  </si>
  <si>
    <t>Desk</t>
  </si>
  <si>
    <t>DeskSet01</t>
  </si>
  <si>
    <t>Computer</t>
  </si>
  <si>
    <t>ComputerSet01</t>
  </si>
  <si>
    <t>Phone</t>
  </si>
  <si>
    <t>Telephone01</t>
  </si>
  <si>
    <t>Document</t>
  </si>
  <si>
    <t>Chair</t>
  </si>
  <si>
    <t>ChairArms01</t>
  </si>
  <si>
    <t>ChairNoArms01</t>
  </si>
  <si>
    <t>ChairOffice01</t>
  </si>
  <si>
    <t>DocGXMForm</t>
  </si>
  <si>
    <t>RoomXLGWaiting_base</t>
  </si>
  <si>
    <t>RoomXLGWaiting_base_locs</t>
  </si>
  <si>
    <t>DocConsentForm</t>
  </si>
  <si>
    <t>Patient</t>
  </si>
  <si>
    <t>PatientTemp</t>
  </si>
  <si>
    <t>Table01</t>
  </si>
  <si>
    <t>COW01</t>
  </si>
  <si>
    <t>IDLabel01</t>
  </si>
  <si>
    <t>PatientBedClickable01</t>
  </si>
  <si>
    <t>Placeholder</t>
  </si>
  <si>
    <t>Nurse</t>
  </si>
  <si>
    <t>NurseClickable01</t>
  </si>
  <si>
    <t>v. 0.5</t>
  </si>
  <si>
    <r>
      <t xml:space="preserve">Edit Password: </t>
    </r>
    <r>
      <rPr>
        <b/>
        <sz val="11"/>
        <color theme="1"/>
        <rFont val="Calibri"/>
        <family val="2"/>
        <scheme val="minor"/>
      </rPr>
      <t>BTG</t>
    </r>
  </si>
  <si>
    <t>RackInfusionBag03</t>
  </si>
  <si>
    <t>Misc</t>
  </si>
  <si>
    <t>IDLabel02</t>
  </si>
  <si>
    <t>KidneyDish01</t>
  </si>
  <si>
    <t>LiquidSoap01</t>
  </si>
  <si>
    <t>Gloves01</t>
  </si>
  <si>
    <t>FoldedBloodPressureCuff01</t>
  </si>
  <si>
    <t>ComputerSetCOW01</t>
  </si>
  <si>
    <t>InfusionSet</t>
  </si>
  <si>
    <t>BloodBox02</t>
  </si>
  <si>
    <t>VitalsMonitor01</t>
  </si>
  <si>
    <t>MonitorStand02</t>
  </si>
  <si>
    <t>Bin</t>
  </si>
  <si>
    <t>BedsideHeadLeft</t>
  </si>
  <si>
    <t>MonitorOnStand01</t>
  </si>
  <si>
    <t>InfusionStandScene06</t>
  </si>
  <si>
    <t>Wastebin01</t>
  </si>
  <si>
    <t>WastebinScene06</t>
  </si>
  <si>
    <t>BloodBagScene06</t>
  </si>
  <si>
    <t>InfusionClamp01</t>
  </si>
  <si>
    <t>IVSet01</t>
  </si>
  <si>
    <t>IV</t>
  </si>
  <si>
    <t>Cannula01</t>
  </si>
  <si>
    <t>CannulaScene07</t>
  </si>
  <si>
    <t>InfusionClamp02</t>
  </si>
  <si>
    <t>InfusionStandScene07</t>
  </si>
  <si>
    <t>IVLINE01</t>
  </si>
  <si>
    <t>RoomSmlStorage_base</t>
  </si>
  <si>
    <t>RoomSmlStorage_base_locs</t>
  </si>
  <si>
    <t>Cabinet</t>
  </si>
  <si>
    <t>Refrigerator01</t>
  </si>
  <si>
    <t>Refrigerator02</t>
  </si>
  <si>
    <t>RefrigeratorScene03</t>
  </si>
  <si>
    <t>RefrigeratorGlass01</t>
  </si>
  <si>
    <t>IcePack01</t>
  </si>
  <si>
    <t>IcePackScene03</t>
  </si>
  <si>
    <t>BloodBoxScene03</t>
  </si>
  <si>
    <t>PaperScene03</t>
  </si>
  <si>
    <t>TableScene03</t>
  </si>
  <si>
    <t>Table02Scene03</t>
  </si>
  <si>
    <t>DocForms</t>
  </si>
  <si>
    <t>ComputerSetCLMM01</t>
  </si>
  <si>
    <t>StandingShelfBins01</t>
  </si>
  <si>
    <t>StandingShelf01</t>
  </si>
  <si>
    <t>CounterCabinet01</t>
  </si>
  <si>
    <t>TapeRoll01</t>
  </si>
  <si>
    <t>RoomLrgDoubleWard_base</t>
  </si>
  <si>
    <t>RoomLrgDoubleWard_base_locs</t>
  </si>
  <si>
    <t>DeskSet02</t>
  </si>
  <si>
    <t>RoomLrgDoubleWard_base01</t>
  </si>
  <si>
    <t>RoomLrgDoubleWard_base02</t>
  </si>
  <si>
    <t>COW00</t>
  </si>
  <si>
    <t>RoomLrgDoubleWard_base03</t>
  </si>
  <si>
    <t>PatientOldMan01</t>
  </si>
  <si>
    <t>PatientOldMan02</t>
  </si>
  <si>
    <t>IVLINE02</t>
  </si>
  <si>
    <t>Table03</t>
  </si>
  <si>
    <t>InfusionSet_ForTransfusion</t>
  </si>
  <si>
    <t>InfusionSet_InfusomatSpaceline</t>
  </si>
  <si>
    <t>InfusionSet_PrimeLine</t>
  </si>
  <si>
    <t>TestTubeBlood01</t>
  </si>
  <si>
    <t>KidneyDish02</t>
  </si>
  <si>
    <t>InfusionStandScene07B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</si>
</sst>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/>
    <xf numFmtId="0" fontId="0" fillId="0" borderId="2" xfId="0" applyBorder="1"/>
    <xf numFmtId="0" fontId="0" fillId="0" borderId="0" xfId="0" quotePrefix="1"/>
    <xf numFmtId="0" fontId="0" fillId="0" borderId="3" xfId="0" applyBorder="1"/>
    <xf numFmtId="0" fontId="3" fillId="0" borderId="0" xfId="0" applyFont="1"/>
    <xf numFmtId="0" fontId="0" fillId="2" borderId="0" xfId="0" applyFill="1"/>
    <xf numFmtId="0" fontId="0" fillId="3" borderId="0" xfId="0" applyFill="1"/>
    <xf numFmtId="0" fontId="0" fillId="3" borderId="0" xfId="0" applyFill="1" applyProtection="1"/>
    <xf numFmtId="0" fontId="0" fillId="4" borderId="0" xfId="0" applyFill="1"/>
    <xf numFmtId="0" fontId="0" fillId="4" borderId="4" xfId="0" applyFill="1" applyBorder="1"/>
    <xf numFmtId="0" fontId="0" fillId="0" borderId="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0</xdr:row>
          <xdr:rowOff>63500</xdr:rowOff>
        </xdr:from>
        <xdr:to>
          <xdr:col>9</xdr:col>
          <xdr:colOff>215900</xdr:colOff>
          <xdr:row>2</xdr:row>
          <xdr:rowOff>139700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Level Setup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95"/>
  <sheetViews>
    <sheetView tabSelected="1" workbookViewId="0">
      <selection activeCell="L12" sqref="L12"/>
    </sheetView>
  </sheetViews>
  <sheetFormatPr baseColWidth="10" defaultColWidth="8.83203125" defaultRowHeight="15" x14ac:dyDescent="0.2"/>
  <cols>
    <col min="1" max="1" width="15.6640625" bestFit="1" customWidth="1"/>
    <col min="2" max="2" width="3" customWidth="1"/>
    <col min="3" max="3" width="23" customWidth="1"/>
    <col min="4" max="4" width="16.6640625" bestFit="1" customWidth="1"/>
    <col min="5" max="5" width="2" bestFit="1" customWidth="1"/>
    <col min="6" max="7" width="19.5" bestFit="1" customWidth="1"/>
    <col min="8" max="8" width="2" bestFit="1" customWidth="1"/>
    <col min="9" max="9" width="21.5" bestFit="1" customWidth="1"/>
    <col min="10" max="10" width="14.5" customWidth="1"/>
    <col min="11" max="11" width="2" bestFit="1" customWidth="1"/>
    <col min="12" max="12" width="15.83203125" bestFit="1" customWidth="1"/>
    <col min="13" max="13" width="19.5" bestFit="1" customWidth="1"/>
    <col min="14" max="14" width="2" bestFit="1" customWidth="1"/>
    <col min="15" max="15" width="21.5" bestFit="1" customWidth="1"/>
    <col min="16" max="16" width="12.6640625" customWidth="1"/>
    <col min="17" max="17" width="2" bestFit="1" customWidth="1"/>
    <col min="18" max="18" width="18" customWidth="1"/>
    <col min="19" max="19" width="16.33203125" customWidth="1"/>
    <col min="20" max="20" width="2" bestFit="1" customWidth="1"/>
    <col min="21" max="21" width="20.6640625" customWidth="1"/>
    <col min="22" max="22" width="7.1640625" customWidth="1"/>
    <col min="23" max="23" width="2" bestFit="1" customWidth="1"/>
    <col min="24" max="24" width="26.33203125" bestFit="1" customWidth="1"/>
    <col min="26" max="26" width="2" bestFit="1" customWidth="1"/>
    <col min="27" max="27" width="26.33203125" bestFit="1" customWidth="1"/>
    <col min="29" max="29" width="2" bestFit="1" customWidth="1"/>
    <col min="30" max="30" width="15.5" customWidth="1"/>
  </cols>
  <sheetData>
    <row r="1" spans="1:30" x14ac:dyDescent="0.2">
      <c r="A1" t="s">
        <v>60</v>
      </c>
      <c r="D1" s="5" t="s">
        <v>59</v>
      </c>
    </row>
    <row r="2" spans="1:30" x14ac:dyDescent="0.2">
      <c r="A2" t="s">
        <v>98</v>
      </c>
      <c r="C2" t="s">
        <v>99</v>
      </c>
    </row>
    <row r="3" spans="1:30" s="4" customFormat="1" x14ac:dyDescent="0.2">
      <c r="A3" s="4" t="s">
        <v>19</v>
      </c>
      <c r="B3" s="4" t="s">
        <v>20</v>
      </c>
      <c r="C3" s="4" t="s">
        <v>21</v>
      </c>
      <c r="D3" s="4" t="s">
        <v>22</v>
      </c>
      <c r="E3" s="4" t="s">
        <v>20</v>
      </c>
      <c r="F3" s="4" t="s">
        <v>23</v>
      </c>
      <c r="L3" s="4" t="s">
        <v>23</v>
      </c>
      <c r="O3" s="4" t="s">
        <v>23</v>
      </c>
      <c r="R3" s="4" t="s">
        <v>23</v>
      </c>
      <c r="U3" s="4" t="s">
        <v>23</v>
      </c>
      <c r="X3" s="4" t="s">
        <v>23</v>
      </c>
      <c r="AA3" s="4" t="s">
        <v>23</v>
      </c>
      <c r="AD3" s="4" t="s">
        <v>23</v>
      </c>
    </row>
    <row r="4" spans="1:30" x14ac:dyDescent="0.2">
      <c r="A4" t="s">
        <v>0</v>
      </c>
      <c r="B4" s="3" t="s">
        <v>16</v>
      </c>
      <c r="C4" s="6" t="s">
        <v>152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spans="1:30" x14ac:dyDescent="0.2">
      <c r="A5" t="str" cm="1">
        <f t="array" aca="1" ref="A5" ca="1">INDEX(INDIRECT(VLOOKUP($C$4, RoomLocs!$A$2:$B$35,2,)),ROW()-4,COLUMN()) &amp; ""</f>
        <v>Bed</v>
      </c>
      <c r="B5" t="str" cm="1">
        <f t="array" aca="1" ref="B5" ca="1">INDEX(INDIRECT(VLOOKUP($C$4, RoomLocs!$A$2:$B$35,2,)),ROW()-4,COLUMN()) &amp; ""</f>
        <v>1</v>
      </c>
      <c r="C5" s="7"/>
      <c r="D5" t="str">
        <f>_xlfn.XLOOKUP($C5,AssetLocs!$A$1:$AAH$1,AssetLocs!$A$2:$AAH$2,"") &amp; ""</f>
        <v/>
      </c>
      <c r="E5" t="str">
        <f>_xlfn.XLOOKUP($C5,AssetLocs!$A$1:$AAH$1,AssetLocs!$B$2:$AAI$2,"") &amp; ""</f>
        <v/>
      </c>
      <c r="F5" s="7"/>
      <c r="G5" t="str">
        <f>_xlfn.XLOOKUP($C5,AssetLocs!$A$1:$AAH$1,AssetLocs!$A$3:$AAH$3,"") &amp; ""</f>
        <v/>
      </c>
      <c r="H5" t="str">
        <f>_xlfn.XLOOKUP($C5,AssetLocs!$A$1:$AAH$1,AssetLocs!$B$3:$AAI$3,"") &amp; ""</f>
        <v/>
      </c>
      <c r="I5" s="7"/>
      <c r="J5" t="str">
        <f>_xlfn.XLOOKUP($C5,AssetLocs!$A$1:$AAH$1,AssetLocs!$A$4:$AAH$4,"") &amp; ""</f>
        <v/>
      </c>
      <c r="K5" t="str">
        <f>_xlfn.XLOOKUP($C5,AssetLocs!$A$1:$AAH$1,AssetLocs!$B$4:$AAI$4,"") &amp; ""</f>
        <v/>
      </c>
      <c r="L5" s="7"/>
      <c r="M5" t="str">
        <f>_xlfn.XLOOKUP($C5,AssetLocs!$A$1:$AAH$1,AssetLocs!$A$5:$AAH$5,"") &amp; ""</f>
        <v/>
      </c>
      <c r="N5" t="str">
        <f>_xlfn.XLOOKUP($C5,AssetLocs!$A$1:$AAH$1,AssetLocs!$B$5:$AAI$5,"") &amp; ""</f>
        <v/>
      </c>
      <c r="O5" s="7"/>
      <c r="P5" s="10"/>
      <c r="Q5" s="11" t="str">
        <f>_xlfn.XLOOKUP($C5,AssetLocs!$A$1:$AAH$1,AssetLocs!$B$6:$AAI$6,"") &amp; ""</f>
        <v/>
      </c>
      <c r="R5" s="7"/>
      <c r="S5" s="11" t="str">
        <f>_xlfn.XLOOKUP($C5,AssetLocs!$A$1:$AAH$1,AssetLocs!$A$7:$AAH$7,"") &amp; ""</f>
        <v/>
      </c>
      <c r="T5" s="11" t="str">
        <f>_xlfn.XLOOKUP($C5,AssetLocs!$A$1:$AAH$1,AssetLocs!$B$7:$AAI$7,"") &amp; ""</f>
        <v/>
      </c>
      <c r="U5" s="7"/>
      <c r="V5" s="11" t="str">
        <f>_xlfn.XLOOKUP($C5,AssetLocs!$A$1:$AAH$1,AssetLocs!$A$8:$AAH$8,"") &amp; ""</f>
        <v/>
      </c>
      <c r="W5" s="11" t="str">
        <f>_xlfn.XLOOKUP($C5,AssetLocs!$A$1:$AAH$1,AssetLocs!$B$8:$AAI$8,"") &amp; ""</f>
        <v/>
      </c>
      <c r="X5" s="7"/>
      <c r="Y5" s="11" t="str">
        <f>_xlfn.XLOOKUP($C5,AssetLocs!$A$1:$AAH$1,AssetLocs!$A$9:$AAH$9,"") &amp; ""</f>
        <v/>
      </c>
      <c r="Z5" s="11" t="str">
        <f>_xlfn.XLOOKUP($C5,AssetLocs!$A$1:$AAH$1,AssetLocs!$B$9:$AAI$9,"") &amp; ""</f>
        <v/>
      </c>
      <c r="AA5" s="7"/>
      <c r="AB5" s="11" t="str">
        <f>_xlfn.XLOOKUP($C5,AssetLocs!$A$1:$AAH$1,AssetLocs!$A$10:$AAH$10,"") &amp; ""</f>
        <v/>
      </c>
      <c r="AC5" s="11" t="str">
        <f>_xlfn.XLOOKUP($C5,AssetLocs!$A$1:$AAH$1,AssetLocs!$B$10:$AAI$10,"") &amp; ""</f>
        <v/>
      </c>
      <c r="AD5" s="7"/>
    </row>
    <row r="6" spans="1:30" x14ac:dyDescent="0.2">
      <c r="A6" t="str" cm="1">
        <f t="array" aca="1" ref="A6" ca="1">INDEX(INDIRECT(VLOOKUP($C$4, RoomLocs!$A$2:$B$35,2,)),ROW()-4,COLUMN()) &amp; ""</f>
        <v>Wall</v>
      </c>
      <c r="B6" t="str" cm="1">
        <f t="array" aca="1" ref="B6" ca="1">INDEX(INDIRECT(VLOOKUP($C$4, RoomLocs!$A$2:$B$35,2,)),ROW()-4,COLUMN()) &amp; ""</f>
        <v>1</v>
      </c>
      <c r="C6" s="7"/>
      <c r="D6" t="str">
        <f>_xlfn.XLOOKUP($C6,AssetLocs!$A$1:$AAH$1,AssetLocs!$A$2:$AAH$2,"") &amp; ""</f>
        <v/>
      </c>
      <c r="E6" t="str">
        <f>_xlfn.XLOOKUP($C6,AssetLocs!$A$1:$AAH$1,AssetLocs!$B$2:$AAI$2,"") &amp; ""</f>
        <v/>
      </c>
      <c r="F6" s="7"/>
      <c r="G6" t="str">
        <f>_xlfn.XLOOKUP($C6,AssetLocs!$A$1:$AAH$1,AssetLocs!$A$3:$AAH$3,"") &amp; ""</f>
        <v/>
      </c>
      <c r="H6" t="str">
        <f>_xlfn.XLOOKUP($C6,AssetLocs!$A$1:$AAH$1,AssetLocs!$B$3:$AAI$3,"") &amp; ""</f>
        <v/>
      </c>
      <c r="I6" s="7"/>
      <c r="J6" t="str">
        <f>_xlfn.XLOOKUP($C6,AssetLocs!$A$1:$AAH$1,AssetLocs!$A$4:$AAH$4,"") &amp; ""</f>
        <v/>
      </c>
      <c r="K6" t="str">
        <f>_xlfn.XLOOKUP($C6,AssetLocs!$A$1:$AAH$1,AssetLocs!$B$4:$AAI$4,"") &amp; ""</f>
        <v/>
      </c>
      <c r="L6" s="7"/>
      <c r="M6" t="str">
        <f>_xlfn.XLOOKUP($C6,AssetLocs!$A$1:$AAH$1,AssetLocs!$A$5:$AAH$5,"") &amp; ""</f>
        <v/>
      </c>
      <c r="N6" t="str">
        <f>_xlfn.XLOOKUP($C6,AssetLocs!$A$1:$AAH$1,AssetLocs!$B$5:$AAI$5,"") &amp; ""</f>
        <v/>
      </c>
      <c r="O6" s="7"/>
      <c r="P6" s="11" t="str">
        <f>_xlfn.XLOOKUP($C6,AssetLocs!$A$1:$AAH$1,AssetLocs!$A$6:$AAH$6,"") &amp; ""</f>
        <v/>
      </c>
      <c r="Q6" s="11" t="str">
        <f>_xlfn.XLOOKUP($C6,AssetLocs!$A$1:$AAH$1,AssetLocs!$B$6:$AAI$6,"") &amp; ""</f>
        <v/>
      </c>
      <c r="R6" s="7"/>
      <c r="S6" s="11" t="str">
        <f>_xlfn.XLOOKUP($C6,AssetLocs!$A$1:$AAH$1,AssetLocs!$A$7:$AAH$7,"") &amp; ""</f>
        <v/>
      </c>
      <c r="T6" s="11" t="str">
        <f>_xlfn.XLOOKUP($C6,AssetLocs!$A$1:$AAH$1,AssetLocs!$B$7:$AAI$7,"") &amp; ""</f>
        <v/>
      </c>
      <c r="U6" s="7"/>
      <c r="V6" s="11" t="str">
        <f>_xlfn.XLOOKUP($C6,AssetLocs!$A$1:$AAH$1,AssetLocs!$A$8:$AAH$8,"") &amp; ""</f>
        <v/>
      </c>
      <c r="W6" s="11" t="str">
        <f>_xlfn.XLOOKUP($C6,AssetLocs!$A$1:$AAH$1,AssetLocs!$B$8:$AAI$8,"") &amp; ""</f>
        <v/>
      </c>
      <c r="X6" s="7"/>
      <c r="Y6" s="11" t="str">
        <f>_xlfn.XLOOKUP($C6,AssetLocs!$A$1:$AAH$1,AssetLocs!$A$9:$AAH$9,"") &amp; ""</f>
        <v/>
      </c>
      <c r="Z6" s="11" t="str">
        <f>_xlfn.XLOOKUP($C6,AssetLocs!$A$1:$AAH$1,AssetLocs!$B$9:$AAI$9,"") &amp; ""</f>
        <v/>
      </c>
      <c r="AA6" s="7"/>
      <c r="AB6" s="11" t="str">
        <f>_xlfn.XLOOKUP($C6,AssetLocs!$A$1:$AAH$1,AssetLocs!$A$10:$AAH$10,"") &amp; ""</f>
        <v/>
      </c>
      <c r="AC6" s="11" t="str">
        <f>_xlfn.XLOOKUP($C6,AssetLocs!$A$1:$AAH$1,AssetLocs!$B$10:$AAI$10,"") &amp; ""</f>
        <v/>
      </c>
      <c r="AD6" s="7"/>
    </row>
    <row r="7" spans="1:30" x14ac:dyDescent="0.2">
      <c r="A7" t="str" cm="1">
        <f t="array" aca="1" ref="A7" ca="1">INDEX(INDIRECT(VLOOKUP($C$4, RoomLocs!$A$2:$B$35,2,)),ROW()-4,COLUMN()) &amp; ""</f>
        <v>BedsideHead</v>
      </c>
      <c r="B7" t="str" cm="1">
        <f t="array" aca="1" ref="B7" ca="1">INDEX(INDIRECT(VLOOKUP($C$4, RoomLocs!$A$2:$B$35,2,)),ROW()-4,COLUMN()) &amp; ""</f>
        <v>1</v>
      </c>
      <c r="C7" s="7"/>
      <c r="D7" t="str">
        <f>_xlfn.XLOOKUP($C7,AssetLocs!$A$1:$AAH$1,AssetLocs!$A$2:$AAH$2,"") &amp; ""</f>
        <v/>
      </c>
      <c r="E7" t="str">
        <f>_xlfn.XLOOKUP($C7,AssetLocs!$A$1:$AAH$1,AssetLocs!$B$2:$AAI$2,"") &amp; ""</f>
        <v/>
      </c>
      <c r="F7" s="7"/>
      <c r="G7" t="str">
        <f>_xlfn.XLOOKUP($C7,AssetLocs!$A$1:$AAH$1,AssetLocs!$A$3:$AAH$3,"") &amp; ""</f>
        <v/>
      </c>
      <c r="H7" t="str">
        <f>_xlfn.XLOOKUP($C7,AssetLocs!$A$1:$AAH$1,AssetLocs!$B$3:$AAI$3,"") &amp; ""</f>
        <v/>
      </c>
      <c r="I7" s="7"/>
      <c r="J7" t="str">
        <f>_xlfn.XLOOKUP($C7,AssetLocs!$A$1:$AAH$1,AssetLocs!$A$4:$AAH$4,"") &amp; ""</f>
        <v/>
      </c>
      <c r="K7" t="str">
        <f>_xlfn.XLOOKUP($C7,AssetLocs!$A$1:$AAH$1,AssetLocs!$B$4:$AAI$4,"") &amp; ""</f>
        <v/>
      </c>
      <c r="L7" s="7"/>
      <c r="M7" t="str">
        <f>_xlfn.XLOOKUP($C7,AssetLocs!$A$1:$AAH$1,AssetLocs!$A$5:$AAH$5,"") &amp; ""</f>
        <v/>
      </c>
      <c r="N7" t="str">
        <f>_xlfn.XLOOKUP($C7,AssetLocs!$A$1:$AAH$1,AssetLocs!$B$5:$AAI$5,"") &amp; ""</f>
        <v/>
      </c>
      <c r="O7" s="7"/>
      <c r="P7" s="11" t="str">
        <f>_xlfn.XLOOKUP($C7,AssetLocs!$A$1:$AAH$1,AssetLocs!$A$6:$AAH$6,"") &amp; ""</f>
        <v/>
      </c>
      <c r="Q7" s="11" t="str">
        <f>_xlfn.XLOOKUP($C7,AssetLocs!$A$1:$AAH$1,AssetLocs!$B$6:$AAI$6,"") &amp; ""</f>
        <v/>
      </c>
      <c r="R7" s="7"/>
      <c r="S7" s="11" t="str">
        <f>_xlfn.XLOOKUP($C7,AssetLocs!$A$1:$AAH$1,AssetLocs!$A$7:$AAH$7,"") &amp; ""</f>
        <v/>
      </c>
      <c r="T7" s="11" t="str">
        <f>_xlfn.XLOOKUP($C7,AssetLocs!$A$1:$AAH$1,AssetLocs!$B$7:$AAI$7,"") &amp; ""</f>
        <v/>
      </c>
      <c r="U7" s="7"/>
      <c r="V7" s="11" t="str">
        <f>_xlfn.XLOOKUP($C7,AssetLocs!$A$1:$AAH$1,AssetLocs!$A$8:$AAH$8,"") &amp; ""</f>
        <v/>
      </c>
      <c r="W7" s="11" t="str">
        <f>_xlfn.XLOOKUP($C7,AssetLocs!$A$1:$AAH$1,AssetLocs!$B$8:$AAI$8,"") &amp; ""</f>
        <v/>
      </c>
      <c r="X7" s="7"/>
      <c r="Y7" s="11" t="str">
        <f>_xlfn.XLOOKUP($C7,AssetLocs!$A$1:$AAH$1,AssetLocs!$A$9:$AAH$9,"") &amp; ""</f>
        <v/>
      </c>
      <c r="Z7" s="11" t="str">
        <f>_xlfn.XLOOKUP($C7,AssetLocs!$A$1:$AAH$1,AssetLocs!$B$9:$AAI$9,"") &amp; ""</f>
        <v/>
      </c>
      <c r="AA7" s="7"/>
      <c r="AB7" s="11" t="str">
        <f>_xlfn.XLOOKUP($C7,AssetLocs!$A$1:$AAH$1,AssetLocs!$A$10:$AAH$10,"") &amp; ""</f>
        <v/>
      </c>
      <c r="AC7" s="11" t="str">
        <f>_xlfn.XLOOKUP($C7,AssetLocs!$A$1:$AAH$1,AssetLocs!$B$10:$AAI$10,"") &amp; ""</f>
        <v/>
      </c>
      <c r="AD7" s="7"/>
    </row>
    <row r="8" spans="1:30" x14ac:dyDescent="0.2">
      <c r="A8" t="str" cm="1">
        <f t="array" aca="1" ref="A8" ca="1">INDEX(INDIRECT(VLOOKUP($C$4, RoomLocs!$A$2:$B$35,2,)),ROW()-4,COLUMN()) &amp; ""</f>
        <v>BedsideHeadLeft</v>
      </c>
      <c r="B8" t="str" cm="1">
        <f t="array" aca="1" ref="B8" ca="1">INDEX(INDIRECT(VLOOKUP($C$4, RoomLocs!$A$2:$B$35,2,)),ROW()-4,COLUMN()) &amp; ""</f>
        <v>1</v>
      </c>
      <c r="C8" s="7"/>
      <c r="D8" t="str">
        <f>_xlfn.XLOOKUP($C8,AssetLocs!$A$1:$AAH$1,AssetLocs!$A$2:$AAH$2,"") &amp; ""</f>
        <v/>
      </c>
      <c r="E8" t="str">
        <f>_xlfn.XLOOKUP($C8,AssetLocs!$A$1:$AAH$1,AssetLocs!$B$2:$AAI$2,"") &amp; ""</f>
        <v/>
      </c>
      <c r="F8" s="7"/>
      <c r="G8" t="str">
        <f>_xlfn.XLOOKUP($C8,AssetLocs!$A$1:$AAH$1,AssetLocs!$A$3:$AAH$3,"") &amp; ""</f>
        <v/>
      </c>
      <c r="H8" t="str">
        <f>_xlfn.XLOOKUP($C8,AssetLocs!$A$1:$AAH$1,AssetLocs!$B$3:$AAI$3,"") &amp; ""</f>
        <v/>
      </c>
      <c r="I8" s="7"/>
      <c r="J8" t="str">
        <f>_xlfn.XLOOKUP($C8,AssetLocs!$A$1:$AAH$1,AssetLocs!$A$4:$AAH$4,"") &amp; ""</f>
        <v/>
      </c>
      <c r="K8" t="str">
        <f>_xlfn.XLOOKUP($C8,AssetLocs!$A$1:$AAH$1,AssetLocs!$B$4:$AAI$4,"") &amp; ""</f>
        <v/>
      </c>
      <c r="L8" s="7"/>
      <c r="M8" t="str">
        <f>_xlfn.XLOOKUP($C8,AssetLocs!$A$1:$AAH$1,AssetLocs!$A$5:$AAH$5,"") &amp; ""</f>
        <v/>
      </c>
      <c r="N8" t="str">
        <f>_xlfn.XLOOKUP($C8,AssetLocs!$A$1:$AAH$1,AssetLocs!$B$5:$AAI$5,"") &amp; ""</f>
        <v/>
      </c>
      <c r="O8" s="7"/>
      <c r="P8" t="str">
        <f>_xlfn.XLOOKUP($C8,AssetLocs!$A$1:$AAH$1,AssetLocs!$A$6:$AAH$6,"") &amp; ""</f>
        <v/>
      </c>
      <c r="Q8" t="str">
        <f>_xlfn.XLOOKUP($C8,AssetLocs!$A$1:$AAH$1,AssetLocs!$B$6:$AAI$6,"") &amp; ""</f>
        <v/>
      </c>
      <c r="R8" s="7"/>
      <c r="S8" t="str">
        <f>_xlfn.XLOOKUP($C8,AssetLocs!$A$1:$AAH$1,AssetLocs!$A$7:$AAH$7,"") &amp; ""</f>
        <v/>
      </c>
      <c r="T8" t="str">
        <f>_xlfn.XLOOKUP($C8,AssetLocs!$A$1:$AAH$1,AssetLocs!$B$7:$AAI$7,"") &amp; ""</f>
        <v/>
      </c>
      <c r="U8" s="7"/>
      <c r="V8" t="str">
        <f>_xlfn.XLOOKUP($C8,AssetLocs!$A$1:$AAH$1,AssetLocs!$A$8:$AAH$8,"") &amp; ""</f>
        <v/>
      </c>
      <c r="W8" t="str">
        <f>_xlfn.XLOOKUP($C8,AssetLocs!$A$1:$AAH$1,AssetLocs!$B$8:$AAI$8,"") &amp; ""</f>
        <v/>
      </c>
      <c r="X8" s="7"/>
      <c r="Y8" s="11" t="str">
        <f>_xlfn.XLOOKUP($C8,AssetLocs!$A$1:$AAH$1,AssetLocs!$A$9:$AAH$9,"") &amp; ""</f>
        <v/>
      </c>
      <c r="Z8" s="11" t="str">
        <f>_xlfn.XLOOKUP($C8,AssetLocs!$A$1:$AAH$1,AssetLocs!$B$9:$AAI$9,"") &amp; ""</f>
        <v/>
      </c>
      <c r="AA8" s="7"/>
      <c r="AB8" s="11" t="str">
        <f>_xlfn.XLOOKUP($C8,AssetLocs!$A$1:$AAH$1,AssetLocs!$A$10:$AAH$10,"") &amp; ""</f>
        <v/>
      </c>
      <c r="AC8" s="11" t="str">
        <f>_xlfn.XLOOKUP($C8,AssetLocs!$A$1:$AAH$1,AssetLocs!$B$10:$AAI$10,"") &amp; ""</f>
        <v/>
      </c>
      <c r="AD8" s="7"/>
    </row>
    <row r="9" spans="1:30" x14ac:dyDescent="0.2">
      <c r="A9" t="str" cm="1">
        <f t="array" aca="1" ref="A9" ca="1">INDEX(INDIRECT(VLOOKUP($C$4, RoomLocs!$A$2:$B$35,2,)),ROW()-4,COLUMN()) &amp; ""</f>
        <v>BedsideMid</v>
      </c>
      <c r="B9" t="str" cm="1">
        <f t="array" aca="1" ref="B9" ca="1">INDEX(INDIRECT(VLOOKUP($C$4, RoomLocs!$A$2:$B$35,2,)),ROW()-4,COLUMN()) &amp; ""</f>
        <v>1</v>
      </c>
      <c r="C9" s="7"/>
      <c r="D9" t="str">
        <f>_xlfn.XLOOKUP($C9,AssetLocs!$A$1:$AAH$1,AssetLocs!$A$2:$AAH$2,"") &amp; ""</f>
        <v/>
      </c>
      <c r="E9" t="str">
        <f>_xlfn.XLOOKUP($C9,AssetLocs!$A$1:$AAH$1,AssetLocs!$B$2:$AAI$2,"") &amp; ""</f>
        <v/>
      </c>
      <c r="F9" s="7"/>
      <c r="G9" t="str">
        <f>_xlfn.XLOOKUP($C9,AssetLocs!$A$1:$AAH$1,AssetLocs!$A$3:$AAH$3,"") &amp; ""</f>
        <v/>
      </c>
      <c r="H9" t="str">
        <f>_xlfn.XLOOKUP($C9,AssetLocs!$A$1:$AAH$1,AssetLocs!$B$3:$AAI$3,"") &amp; ""</f>
        <v/>
      </c>
      <c r="I9" s="7"/>
      <c r="J9" t="str">
        <f>_xlfn.XLOOKUP($C9,AssetLocs!$A$1:$AAH$1,AssetLocs!$A$4:$AAH$4,"") &amp; ""</f>
        <v/>
      </c>
      <c r="K9" t="str">
        <f>_xlfn.XLOOKUP($C9,AssetLocs!$A$1:$AAH$1,AssetLocs!$B$4:$AAI$4,"") &amp; ""</f>
        <v/>
      </c>
      <c r="L9" s="7"/>
      <c r="M9" t="str">
        <f>_xlfn.XLOOKUP($C9,AssetLocs!$A$1:$AAH$1,AssetLocs!$A$5:$AAH$5,"") &amp; ""</f>
        <v/>
      </c>
      <c r="N9" t="str">
        <f>_xlfn.XLOOKUP($C9,AssetLocs!$A$1:$AAH$1,AssetLocs!$B$5:$AAI$5,"") &amp; ""</f>
        <v/>
      </c>
      <c r="O9" s="7"/>
      <c r="P9" t="str">
        <f>_xlfn.XLOOKUP($C9,AssetLocs!$A$1:$AAH$1,AssetLocs!$A$6:$AAH$6,"") &amp; ""</f>
        <v/>
      </c>
      <c r="Q9" t="str">
        <f>_xlfn.XLOOKUP($C9,AssetLocs!$A$1:$AAH$1,AssetLocs!$B$6:$AAI$6,"") &amp; ""</f>
        <v/>
      </c>
      <c r="R9" s="7"/>
      <c r="S9" t="str">
        <f>_xlfn.XLOOKUP($C9,AssetLocs!$A$1:$AAH$1,AssetLocs!$A$7:$AAH$7,"") &amp; ""</f>
        <v/>
      </c>
      <c r="T9" t="str">
        <f>_xlfn.XLOOKUP($C9,AssetLocs!$A$1:$AAH$1,AssetLocs!$B$7:$AAI$7,"") &amp; ""</f>
        <v/>
      </c>
      <c r="U9" s="7"/>
      <c r="V9" t="str">
        <f>_xlfn.XLOOKUP($C9,AssetLocs!$A$1:$AAH$1,AssetLocs!$A$8:$AAH$8,"") &amp; ""</f>
        <v/>
      </c>
      <c r="W9" t="str">
        <f>_xlfn.XLOOKUP($C9,AssetLocs!$A$1:$AAH$1,AssetLocs!$B$8:$AAI$8,"") &amp; ""</f>
        <v/>
      </c>
      <c r="X9" s="7"/>
      <c r="Y9" s="11" t="str">
        <f>_xlfn.XLOOKUP($C9,AssetLocs!$A$1:$AAH$1,AssetLocs!$A$9:$AAH$9,"") &amp; ""</f>
        <v/>
      </c>
      <c r="Z9" s="11" t="str">
        <f>_xlfn.XLOOKUP($C9,AssetLocs!$A$1:$AAH$1,AssetLocs!$B$9:$AAI$9,"") &amp; ""</f>
        <v/>
      </c>
      <c r="AA9" s="7"/>
      <c r="AB9" s="11" t="str">
        <f>_xlfn.XLOOKUP($C9,AssetLocs!$A$1:$AAH$1,AssetLocs!$A$10:$AAH$10,"") &amp; ""</f>
        <v/>
      </c>
      <c r="AC9" s="11" t="str">
        <f>_xlfn.XLOOKUP($C9,AssetLocs!$A$1:$AAH$1,AssetLocs!$B$10:$AAI$10,"") &amp; ""</f>
        <v/>
      </c>
      <c r="AD9" s="7"/>
    </row>
    <row r="10" spans="1:30" x14ac:dyDescent="0.2">
      <c r="A10" t="str" cm="1">
        <f t="array" aca="1" ref="A10" ca="1">INDEX(INDIRECT(VLOOKUP($C$4, RoomLocs!$A$2:$B$35,2,)),ROW()-4,COLUMN()) &amp; ""</f>
        <v>BedsideFoot</v>
      </c>
      <c r="B10" t="str" cm="1">
        <f t="array" aca="1" ref="B10" ca="1">INDEX(INDIRECT(VLOOKUP($C$4, RoomLocs!$A$2:$B$35,2,)),ROW()-4,COLUMN()) &amp; ""</f>
        <v>1</v>
      </c>
      <c r="C10" s="7"/>
      <c r="D10" t="str">
        <f>_xlfn.XLOOKUP($C10,AssetLocs!$A$1:$AAH$1,AssetLocs!$A$2:$AAH$2,"") &amp; ""</f>
        <v/>
      </c>
      <c r="E10" t="str">
        <f>_xlfn.XLOOKUP($C10,AssetLocs!$A$1:$AAH$1,AssetLocs!$B$2:$AAI$2,"") &amp; ""</f>
        <v/>
      </c>
      <c r="F10" s="7"/>
      <c r="G10" t="str">
        <f>_xlfn.XLOOKUP($C10,AssetLocs!$A$1:$AAH$1,AssetLocs!$A$3:$AAH$3,"") &amp; ""</f>
        <v/>
      </c>
      <c r="H10" t="str">
        <f>_xlfn.XLOOKUP($C10,AssetLocs!$A$1:$AAH$1,AssetLocs!$B$3:$AAI$3,"") &amp; ""</f>
        <v/>
      </c>
      <c r="I10" s="7"/>
      <c r="J10" t="str">
        <f>_xlfn.XLOOKUP($C10,AssetLocs!$A$1:$AAH$1,AssetLocs!$A$4:$AAH$4,"") &amp; ""</f>
        <v/>
      </c>
      <c r="K10" t="str">
        <f>_xlfn.XLOOKUP($C10,AssetLocs!$A$1:$AAH$1,AssetLocs!$B$4:$AAI$4,"") &amp; ""</f>
        <v/>
      </c>
      <c r="L10" s="7"/>
      <c r="M10" t="str">
        <f>_xlfn.XLOOKUP($C10,AssetLocs!$A$1:$AAH$1,AssetLocs!$A$5:$AAH$5,"") &amp; ""</f>
        <v/>
      </c>
      <c r="N10" t="str">
        <f>_xlfn.XLOOKUP($C10,AssetLocs!$A$1:$AAH$1,AssetLocs!$B$5:$AAI$5,"") &amp; ""</f>
        <v/>
      </c>
      <c r="O10" s="7"/>
      <c r="P10" t="str">
        <f>_xlfn.XLOOKUP($C10,AssetLocs!$A$1:$AAH$1,AssetLocs!$A$6:$AAH$6,"") &amp; ""</f>
        <v/>
      </c>
      <c r="Q10" t="str">
        <f>_xlfn.XLOOKUP($C10,AssetLocs!$A$1:$AAH$1,AssetLocs!$B$6:$AAI$6,"") &amp; ""</f>
        <v/>
      </c>
      <c r="R10" s="7"/>
      <c r="S10" t="str">
        <f>_xlfn.XLOOKUP($C10,AssetLocs!$A$1:$AAH$1,AssetLocs!$A$7:$AAH$7,"") &amp; ""</f>
        <v/>
      </c>
      <c r="T10" t="str">
        <f>_xlfn.XLOOKUP($C10,AssetLocs!$A$1:$AAH$1,AssetLocs!$B$7:$AAI$7,"") &amp; ""</f>
        <v/>
      </c>
      <c r="U10" s="7"/>
      <c r="V10" t="str">
        <f>_xlfn.XLOOKUP($C10,AssetLocs!$A$1:$AAH$1,AssetLocs!$A$8:$AAH$8,"") &amp; ""</f>
        <v/>
      </c>
      <c r="W10" t="str">
        <f>_xlfn.XLOOKUP($C10,AssetLocs!$A$1:$AAH$1,AssetLocs!$B$8:$AAI$8,"") &amp; ""</f>
        <v/>
      </c>
      <c r="X10" s="7"/>
      <c r="Y10" s="11" t="str">
        <f>_xlfn.XLOOKUP($C10,AssetLocs!$A$1:$AAH$1,AssetLocs!$A$9:$AAH$9,"") &amp; ""</f>
        <v/>
      </c>
      <c r="Z10" s="11" t="str">
        <f>_xlfn.XLOOKUP($C10,AssetLocs!$A$1:$AAH$1,AssetLocs!$B$9:$AAI$9,"") &amp; ""</f>
        <v/>
      </c>
      <c r="AA10" s="7"/>
      <c r="AB10" s="11" t="str">
        <f>_xlfn.XLOOKUP($C10,AssetLocs!$A$1:$AAH$1,AssetLocs!$A$10:$AAH$10,"") &amp; ""</f>
        <v/>
      </c>
      <c r="AC10" s="11" t="str">
        <f>_xlfn.XLOOKUP($C10,AssetLocs!$A$1:$AAH$1,AssetLocs!$B$10:$AAI$10,"") &amp; ""</f>
        <v/>
      </c>
      <c r="AD10" s="7"/>
    </row>
    <row r="11" spans="1:30" x14ac:dyDescent="0.2">
      <c r="A11" t="str" cm="1">
        <f t="array" aca="1" ref="A11" ca="1">INDEX(INDIRECT(VLOOKUP($C$4, RoomLocs!$A$2:$B$35,2,)),ROW()-4,COLUMN()) &amp; ""</f>
        <v>Desk</v>
      </c>
      <c r="B11" t="str" cm="1">
        <f t="array" aca="1" ref="B11" ca="1">INDEX(INDIRECT(VLOOKUP($C$4, RoomLocs!$A$2:$B$35,2,)),ROW()-4,COLUMN()) &amp; ""</f>
        <v>1</v>
      </c>
      <c r="C11" s="7"/>
      <c r="D11" t="str">
        <f>_xlfn.XLOOKUP($C11,AssetLocs!$A$1:$AAH$1,AssetLocs!$A$2:$AAH$2,"") &amp; ""</f>
        <v/>
      </c>
      <c r="E11" t="str">
        <f>_xlfn.XLOOKUP($C11,AssetLocs!$A$1:$AAH$1,AssetLocs!$B$2:$AAI$2,"") &amp; ""</f>
        <v/>
      </c>
      <c r="F11" s="7"/>
      <c r="G11" t="str">
        <f>_xlfn.XLOOKUP($C11,AssetLocs!$A$1:$AAH$1,AssetLocs!$A$3:$AAH$3,"") &amp; ""</f>
        <v/>
      </c>
      <c r="H11" t="str">
        <f>_xlfn.XLOOKUP($C11,AssetLocs!$A$1:$AAH$1,AssetLocs!$B$3:$AAI$3,"") &amp; ""</f>
        <v/>
      </c>
      <c r="I11" s="7"/>
      <c r="J11" t="str">
        <f>_xlfn.XLOOKUP($C11,AssetLocs!$A$1:$AAH$1,AssetLocs!$A$4:$AAH$4,"") &amp; ""</f>
        <v/>
      </c>
      <c r="K11" t="str">
        <f>_xlfn.XLOOKUP($C11,AssetLocs!$A$1:$AAH$1,AssetLocs!$B$4:$AAI$4,"") &amp; ""</f>
        <v/>
      </c>
      <c r="L11" s="7"/>
      <c r="M11" t="str">
        <f>_xlfn.XLOOKUP($C11,AssetLocs!$A$1:$AAH$1,AssetLocs!$A$5:$AAH$5,"") &amp; ""</f>
        <v/>
      </c>
      <c r="N11" t="str">
        <f>_xlfn.XLOOKUP($C11,AssetLocs!$A$1:$AAH$1,AssetLocs!$B$5:$AAI$5,"") &amp; ""</f>
        <v/>
      </c>
      <c r="O11" s="7"/>
      <c r="P11" t="str">
        <f>_xlfn.XLOOKUP($C11,AssetLocs!$A$1:$AAH$1,AssetLocs!$A$6:$AAH$6,"") &amp; ""</f>
        <v/>
      </c>
      <c r="Q11" t="str">
        <f>_xlfn.XLOOKUP($C11,AssetLocs!$A$1:$AAH$1,AssetLocs!$B$6:$AAI$6,"") &amp; ""</f>
        <v/>
      </c>
      <c r="R11" s="7"/>
      <c r="S11" t="str">
        <f>_xlfn.XLOOKUP($C11,AssetLocs!$A$1:$AAH$1,AssetLocs!$A$7:$AAH$7,"") &amp; ""</f>
        <v/>
      </c>
      <c r="T11" t="str">
        <f>_xlfn.XLOOKUP($C11,AssetLocs!$A$1:$AAH$1,AssetLocs!$B$7:$AAI$7,"") &amp; ""</f>
        <v/>
      </c>
      <c r="U11" s="7"/>
      <c r="V11" t="str">
        <f>_xlfn.XLOOKUP($C11,AssetLocs!$A$1:$AAH$1,AssetLocs!$A$8:$AAH$8,"") &amp; ""</f>
        <v/>
      </c>
      <c r="W11" t="str">
        <f>_xlfn.XLOOKUP($C11,AssetLocs!$A$1:$AAH$1,AssetLocs!$B$8:$AAI$8,"") &amp; ""</f>
        <v/>
      </c>
      <c r="X11" s="7"/>
      <c r="Y11" s="11" t="str">
        <f>_xlfn.XLOOKUP($C11,AssetLocs!$A$1:$AAH$1,AssetLocs!$A$9:$AAH$9,"") &amp; ""</f>
        <v/>
      </c>
      <c r="Z11" s="11" t="str">
        <f>_xlfn.XLOOKUP($C11,AssetLocs!$A$1:$AAH$1,AssetLocs!$B$9:$AAI$9,"") &amp; ""</f>
        <v/>
      </c>
      <c r="AA11" s="7"/>
      <c r="AB11" s="11" t="str">
        <f>_xlfn.XLOOKUP($C11,AssetLocs!$A$1:$AAH$1,AssetLocs!$A$10:$AAH$10,"") &amp; ""</f>
        <v/>
      </c>
      <c r="AC11" s="11" t="str">
        <f>_xlfn.XLOOKUP($C11,AssetLocs!$A$1:$AAH$1,AssetLocs!$B$10:$AAI$10,"") &amp; ""</f>
        <v/>
      </c>
      <c r="AD11" s="7"/>
    </row>
    <row r="12" spans="1:30" x14ac:dyDescent="0.2">
      <c r="A12" t="str" cm="1">
        <f t="array" aca="1" ref="A12" ca="1">INDEX(INDIRECT(VLOOKUP($C$4, RoomLocs!$A$2:$B$35,2,)),ROW()-4,COLUMN()) &amp; ""</f>
        <v>Cart</v>
      </c>
      <c r="B12" t="str" cm="1">
        <f t="array" aca="1" ref="B12" ca="1">INDEX(INDIRECT(VLOOKUP($C$4, RoomLocs!$A$2:$B$35,2,)),ROW()-4,COLUMN()) &amp; ""</f>
        <v>1</v>
      </c>
      <c r="C12" s="7"/>
      <c r="D12" t="str">
        <f>_xlfn.XLOOKUP($C12,AssetLocs!$A$1:$AAH$1,AssetLocs!$A$2:$AAH$2,"") &amp; ""</f>
        <v/>
      </c>
      <c r="E12" t="str">
        <f>_xlfn.XLOOKUP($C12,AssetLocs!$A$1:$AAH$1,AssetLocs!$B$2:$AAI$2,"") &amp; ""</f>
        <v/>
      </c>
      <c r="F12" s="7"/>
      <c r="G12" t="str">
        <f>_xlfn.XLOOKUP($C12,AssetLocs!$A$1:$AAH$1,AssetLocs!$A$3:$AAH$3,"") &amp; ""</f>
        <v/>
      </c>
      <c r="H12" t="str">
        <f>_xlfn.XLOOKUP($C12,AssetLocs!$A$1:$AAH$1,AssetLocs!$B$3:$AAI$3,"") &amp; ""</f>
        <v/>
      </c>
      <c r="I12" s="7"/>
      <c r="J12" t="str">
        <f>_xlfn.XLOOKUP($C12,AssetLocs!$A$1:$AAH$1,AssetLocs!$A$4:$AAH$4,"") &amp; ""</f>
        <v/>
      </c>
      <c r="K12" t="str">
        <f>_xlfn.XLOOKUP($C12,AssetLocs!$A$1:$AAH$1,AssetLocs!$B$4:$AAI$4,"") &amp; ""</f>
        <v/>
      </c>
      <c r="L12" s="7"/>
      <c r="M12" t="str">
        <f>_xlfn.XLOOKUP($C12,AssetLocs!$A$1:$AAH$1,AssetLocs!$A$5:$AAH$5,"") &amp; ""</f>
        <v/>
      </c>
      <c r="N12" t="str">
        <f>_xlfn.XLOOKUP($C12,AssetLocs!$A$1:$AAH$1,AssetLocs!$B$5:$AAI$5,"") &amp; ""</f>
        <v/>
      </c>
      <c r="O12" s="7"/>
      <c r="P12" t="str">
        <f>_xlfn.XLOOKUP($C12,AssetLocs!$A$1:$AAH$1,AssetLocs!$A$6:$AAH$6,"") &amp; ""</f>
        <v/>
      </c>
      <c r="Q12" t="str">
        <f>_xlfn.XLOOKUP($C12,AssetLocs!$A$1:$AAH$1,AssetLocs!$B$6:$AAI$6,"") &amp; ""</f>
        <v/>
      </c>
      <c r="R12" s="7"/>
      <c r="S12" t="str">
        <f>_xlfn.XLOOKUP($C12,AssetLocs!$A$1:$AAH$1,AssetLocs!$A$7:$AAH$7,"") &amp; ""</f>
        <v/>
      </c>
      <c r="T12" t="str">
        <f>_xlfn.XLOOKUP($C12,AssetLocs!$A$1:$AAH$1,AssetLocs!$B$7:$AAI$7,"") &amp; ""</f>
        <v/>
      </c>
      <c r="U12" s="7"/>
      <c r="V12" t="str">
        <f>_xlfn.XLOOKUP($C12,AssetLocs!$A$1:$AAH$1,AssetLocs!$A$8:$AAH$8,"") &amp; ""</f>
        <v/>
      </c>
      <c r="W12" t="str">
        <f>_xlfn.XLOOKUP($C12,AssetLocs!$A$1:$AAH$1,AssetLocs!$B$8:$AAI$8,"") &amp; ""</f>
        <v/>
      </c>
      <c r="X12" s="7"/>
      <c r="Y12" s="11" t="str">
        <f>_xlfn.XLOOKUP($C12,AssetLocs!$A$1:$AAH$1,AssetLocs!$A$9:$AAH$9,"") &amp; ""</f>
        <v/>
      </c>
      <c r="Z12" s="11" t="str">
        <f>_xlfn.XLOOKUP($C12,AssetLocs!$A$1:$AAH$1,AssetLocs!$B$9:$AAI$9,"") &amp; ""</f>
        <v/>
      </c>
      <c r="AA12" s="7"/>
      <c r="AB12" s="11" t="str">
        <f>_xlfn.XLOOKUP($C12,AssetLocs!$A$1:$AAH$1,AssetLocs!$A$10:$AAH$10,"") &amp; ""</f>
        <v/>
      </c>
      <c r="AC12" s="11" t="str">
        <f>_xlfn.XLOOKUP($C12,AssetLocs!$A$1:$AAH$1,AssetLocs!$B$10:$AAI$10,"") &amp; ""</f>
        <v/>
      </c>
      <c r="AD12" s="7"/>
    </row>
    <row r="13" spans="1:30" x14ac:dyDescent="0.2">
      <c r="A13" t="str" cm="1">
        <f t="array" aca="1" ref="A13" ca="1">INDEX(INDIRECT(VLOOKUP($C$4, RoomLocs!$A$2:$B$35,2,)),ROW()-4,COLUMN()) &amp; ""</f>
        <v>Bin</v>
      </c>
      <c r="B13" t="str" cm="1">
        <f t="array" aca="1" ref="B13" ca="1">INDEX(INDIRECT(VLOOKUP($C$4, RoomLocs!$A$2:$B$35,2,)),ROW()-4,COLUMN()) &amp; ""</f>
        <v>1</v>
      </c>
      <c r="C13" s="7"/>
      <c r="D13" t="str">
        <f>_xlfn.XLOOKUP($C13,AssetLocs!$A$1:$AAH$1,AssetLocs!$A$2:$AAH$2,"") &amp; ""</f>
        <v/>
      </c>
      <c r="E13" t="str">
        <f>_xlfn.XLOOKUP($C13,AssetLocs!$A$1:$AAH$1,AssetLocs!$B$2:$AAI$2,"") &amp; ""</f>
        <v/>
      </c>
      <c r="F13" s="7"/>
      <c r="G13" t="str">
        <f>_xlfn.XLOOKUP($C13,AssetLocs!$A$1:$AAH$1,AssetLocs!$A$3:$AAH$3,"") &amp; ""</f>
        <v/>
      </c>
      <c r="H13" t="str">
        <f>_xlfn.XLOOKUP($C13,AssetLocs!$A$1:$AAH$1,AssetLocs!$B$3:$AAI$3,"") &amp; ""</f>
        <v/>
      </c>
      <c r="I13" s="7"/>
      <c r="J13" t="str">
        <f>_xlfn.XLOOKUP($C13,AssetLocs!$A$1:$AAH$1,AssetLocs!$A$4:$AAH$4,"") &amp; ""</f>
        <v/>
      </c>
      <c r="K13" t="str">
        <f>_xlfn.XLOOKUP($C13,AssetLocs!$A$1:$AAH$1,AssetLocs!$B$4:$AAI$4,"") &amp; ""</f>
        <v/>
      </c>
      <c r="L13" s="7"/>
      <c r="M13" t="str">
        <f>_xlfn.XLOOKUP($C13,AssetLocs!$A$1:$AAH$1,AssetLocs!$A$5:$AAH$5,"") &amp; ""</f>
        <v/>
      </c>
      <c r="N13" t="str">
        <f>_xlfn.XLOOKUP($C13,AssetLocs!$A$1:$AAH$1,AssetLocs!$B$5:$AAI$5,"") &amp; ""</f>
        <v/>
      </c>
      <c r="O13" s="7"/>
      <c r="P13" t="str">
        <f>_xlfn.XLOOKUP($C13,AssetLocs!$A$1:$AAH$1,AssetLocs!$A$6:$AAH$6,"") &amp; ""</f>
        <v/>
      </c>
      <c r="Q13" t="str">
        <f>_xlfn.XLOOKUP($C13,AssetLocs!$A$1:$AAH$1,AssetLocs!$B$6:$AAI$6,"") &amp; ""</f>
        <v/>
      </c>
      <c r="R13" s="7"/>
      <c r="S13" t="str">
        <f>_xlfn.XLOOKUP($C13,AssetLocs!$A$1:$AAH$1,AssetLocs!$A$7:$AAH$7,"") &amp; ""</f>
        <v/>
      </c>
      <c r="T13" t="str">
        <f>_xlfn.XLOOKUP($C13,AssetLocs!$A$1:$AAH$1,AssetLocs!$B$7:$AAI$7,"") &amp; ""</f>
        <v/>
      </c>
      <c r="U13" s="7"/>
      <c r="V13" t="str">
        <f>_xlfn.XLOOKUP($C13,AssetLocs!$A$1:$AAH$1,AssetLocs!$A$8:$AAH$8,"") &amp; ""</f>
        <v/>
      </c>
      <c r="W13" t="str">
        <f>_xlfn.XLOOKUP($C13,AssetLocs!$A$1:$AAH$1,AssetLocs!$B$8:$AAI$8,"") &amp; ""</f>
        <v/>
      </c>
      <c r="X13" s="7"/>
      <c r="Y13" s="11" t="str">
        <f>_xlfn.XLOOKUP($C13,AssetLocs!$A$1:$AAH$1,AssetLocs!$A$9:$AAH$9,"") &amp; ""</f>
        <v/>
      </c>
      <c r="Z13" s="11" t="str">
        <f>_xlfn.XLOOKUP($C13,AssetLocs!$A$1:$AAH$1,AssetLocs!$B$9:$AAI$9,"") &amp; ""</f>
        <v/>
      </c>
      <c r="AA13" s="7"/>
      <c r="AB13" s="11" t="str">
        <f>_xlfn.XLOOKUP($C13,AssetLocs!$A$1:$AAH$1,AssetLocs!$A$10:$AAH$10,"") &amp; ""</f>
        <v/>
      </c>
      <c r="AC13" s="11" t="str">
        <f>_xlfn.XLOOKUP($C13,AssetLocs!$A$1:$AAH$1,AssetLocs!$B$10:$AAI$10,"") &amp; ""</f>
        <v/>
      </c>
      <c r="AD13" s="7"/>
    </row>
    <row r="14" spans="1:30" x14ac:dyDescent="0.2">
      <c r="A14" t="str" cm="1">
        <f t="array" aca="1" ref="A14" ca="1">INDEX(INDIRECT(VLOOKUP($C$4, RoomLocs!$A$2:$B$35,2,)),ROW()-4,COLUMN()) &amp; ""</f>
        <v>Nurse</v>
      </c>
      <c r="B14" t="str" cm="1">
        <f t="array" aca="1" ref="B14" ca="1">INDEX(INDIRECT(VLOOKUP($C$4, RoomLocs!$A$2:$B$35,2,)),ROW()-4,COLUMN()) &amp; ""</f>
        <v>1</v>
      </c>
      <c r="C14" s="7"/>
      <c r="D14" t="str">
        <f>_xlfn.XLOOKUP($C14,AssetLocs!$A$1:$AAH$1,AssetLocs!$A$2:$AAH$2,"") &amp; ""</f>
        <v/>
      </c>
      <c r="E14" t="str">
        <f>_xlfn.XLOOKUP($C14,AssetLocs!$A$1:$AAH$1,AssetLocs!$B$2:$AAI$2,"") &amp; ""</f>
        <v/>
      </c>
      <c r="F14" s="7"/>
      <c r="G14" t="str">
        <f>_xlfn.XLOOKUP($C14,AssetLocs!$A$1:$AAH$1,AssetLocs!$A$3:$AAH$3,"") &amp; ""</f>
        <v/>
      </c>
      <c r="H14" t="str">
        <f>_xlfn.XLOOKUP($C14,AssetLocs!$A$1:$AAH$1,AssetLocs!$B$3:$AAI$3,"") &amp; ""</f>
        <v/>
      </c>
      <c r="I14" s="7"/>
      <c r="J14" t="str">
        <f>_xlfn.XLOOKUP($C14,AssetLocs!$A$1:$AAH$1,AssetLocs!$A$4:$AAH$4,"") &amp; ""</f>
        <v/>
      </c>
      <c r="K14" t="str">
        <f>_xlfn.XLOOKUP($C14,AssetLocs!$A$1:$AAH$1,AssetLocs!$B$4:$AAI$4,"") &amp; ""</f>
        <v/>
      </c>
      <c r="L14" s="7"/>
      <c r="M14" t="str">
        <f>_xlfn.XLOOKUP($C14,AssetLocs!$A$1:$AAH$1,AssetLocs!$A$5:$AAH$5,"") &amp; ""</f>
        <v/>
      </c>
      <c r="N14" t="str">
        <f>_xlfn.XLOOKUP($C14,AssetLocs!$A$1:$AAH$1,AssetLocs!$B$5:$AAI$5,"") &amp; ""</f>
        <v/>
      </c>
      <c r="O14" s="7"/>
      <c r="P14" t="str">
        <f>_xlfn.XLOOKUP($C14,AssetLocs!$A$1:$AAH$1,AssetLocs!$A$6:$AAH$6,"") &amp; ""</f>
        <v/>
      </c>
      <c r="Q14" t="str">
        <f>_xlfn.XLOOKUP($C14,AssetLocs!$A$1:$AAH$1,AssetLocs!$B$6:$AAI$6,"") &amp; ""</f>
        <v/>
      </c>
      <c r="R14" s="7"/>
      <c r="S14" t="str">
        <f>_xlfn.XLOOKUP($C14,AssetLocs!$A$1:$AAH$1,AssetLocs!$A$7:$AAH$7,"") &amp; ""</f>
        <v/>
      </c>
      <c r="T14" t="str">
        <f>_xlfn.XLOOKUP($C14,AssetLocs!$A$1:$AAH$1,AssetLocs!$B$7:$AAI$7,"") &amp; ""</f>
        <v/>
      </c>
      <c r="U14" s="7"/>
      <c r="V14" t="str">
        <f>_xlfn.XLOOKUP($C14,AssetLocs!$A$1:$AAH$1,AssetLocs!$A$8:$AAH$8,"") &amp; ""</f>
        <v/>
      </c>
      <c r="W14" t="str">
        <f>_xlfn.XLOOKUP($C14,AssetLocs!$A$1:$AAH$1,AssetLocs!$B$8:$AAI$8,"") &amp; ""</f>
        <v/>
      </c>
      <c r="X14" s="7"/>
      <c r="Y14" s="11" t="str">
        <f>_xlfn.XLOOKUP($C14,AssetLocs!$A$1:$AAH$1,AssetLocs!$A$9:$AAH$9,"") &amp; ""</f>
        <v/>
      </c>
      <c r="Z14" s="11" t="str">
        <f>_xlfn.XLOOKUP($C14,AssetLocs!$A$1:$AAH$1,AssetLocs!$B$9:$AAI$9,"") &amp; ""</f>
        <v/>
      </c>
      <c r="AA14" s="7"/>
      <c r="AB14" s="11" t="str">
        <f>_xlfn.XLOOKUP($C14,AssetLocs!$A$1:$AAH$1,AssetLocs!$A$10:$AAH$10,"") &amp; ""</f>
        <v/>
      </c>
      <c r="AC14" s="11" t="str">
        <f>_xlfn.XLOOKUP($C14,AssetLocs!$A$1:$AAH$1,AssetLocs!$B$10:$AAI$10,"") &amp; ""</f>
        <v/>
      </c>
      <c r="AD14" s="7"/>
    </row>
    <row r="15" spans="1:30" x14ac:dyDescent="0.2">
      <c r="A15" t="str" cm="1">
        <f t="array" aca="1" ref="A15" ca="1">INDEX(INDIRECT(VLOOKUP($C$4, RoomLocs!$A$2:$B$35,2,)),ROW()-4,COLUMN()) &amp; ""</f>
        <v>Bed</v>
      </c>
      <c r="B15" t="str" cm="1">
        <f t="array" aca="1" ref="B15" ca="1">INDEX(INDIRECT(VLOOKUP($C$4, RoomLocs!$A$2:$B$35,2,)),ROW()-4,COLUMN()) &amp; ""</f>
        <v>2</v>
      </c>
      <c r="C15" s="8"/>
      <c r="D15" t="str">
        <f>_xlfn.XLOOKUP($C15,AssetLocs!$A$1:$AAH$1,AssetLocs!$A$2:$AAH$2,"") &amp; ""</f>
        <v/>
      </c>
      <c r="E15" t="str">
        <f>_xlfn.XLOOKUP($C15,AssetLocs!$A$1:$AAH$1,AssetLocs!$B$2:$AAI$2,"") &amp; ""</f>
        <v/>
      </c>
      <c r="F15" s="8"/>
      <c r="G15" t="str">
        <f>_xlfn.XLOOKUP($C15,AssetLocs!$A$1:$AAH$1,AssetLocs!$A$3:$AAH$3,"") &amp; ""</f>
        <v/>
      </c>
      <c r="H15" t="str">
        <f>_xlfn.XLOOKUP($C15,AssetLocs!$A$1:$AAH$1,AssetLocs!$B$3:$AAI$3,"") &amp; ""</f>
        <v/>
      </c>
      <c r="I15" s="7"/>
      <c r="J15" t="str">
        <f>_xlfn.XLOOKUP($C15,AssetLocs!$A$1:$AAH$1,AssetLocs!$A$4:$AAH$4,"") &amp; ""</f>
        <v/>
      </c>
      <c r="K15" t="str">
        <f>_xlfn.XLOOKUP($C15,AssetLocs!$A$1:$AAH$1,AssetLocs!$B$4:$AAI$4,"") &amp; ""</f>
        <v/>
      </c>
      <c r="L15" s="7"/>
      <c r="M15" t="str">
        <f>_xlfn.XLOOKUP($C15,AssetLocs!$A$1:$AAH$1,AssetLocs!$A$5:$AAH$5,"") &amp; ""</f>
        <v/>
      </c>
      <c r="N15" t="str">
        <f>_xlfn.XLOOKUP($C15,AssetLocs!$A$1:$AAH$1,AssetLocs!$B$5:$AAI$5,"") &amp; ""</f>
        <v/>
      </c>
      <c r="O15" s="7"/>
      <c r="P15" t="str">
        <f>_xlfn.XLOOKUP($C15,AssetLocs!$A$1:$AAH$1,AssetLocs!$A$6:$AAH$6,"") &amp; ""</f>
        <v/>
      </c>
      <c r="Q15" t="str">
        <f>_xlfn.XLOOKUP($C15,AssetLocs!$A$1:$AAH$1,AssetLocs!$B$6:$AAI$6,"") &amp; ""</f>
        <v/>
      </c>
      <c r="R15" s="7"/>
      <c r="S15" t="str">
        <f>_xlfn.XLOOKUP($C15,AssetLocs!$A$1:$AAH$1,AssetLocs!$A$7:$AAH$7,"") &amp; ""</f>
        <v/>
      </c>
      <c r="T15" t="str">
        <f>_xlfn.XLOOKUP($C15,AssetLocs!$A$1:$AAH$1,AssetLocs!$B$7:$AAI$7,"") &amp; ""</f>
        <v/>
      </c>
      <c r="U15" s="7"/>
      <c r="V15" t="str">
        <f>_xlfn.XLOOKUP($C15,AssetLocs!$A$1:$AAH$1,AssetLocs!$A$8:$AAH$8,"") &amp; ""</f>
        <v/>
      </c>
      <c r="W15" t="str">
        <f>_xlfn.XLOOKUP($C15,AssetLocs!$A$1:$AAH$1,AssetLocs!$B$8:$AAI$8,"") &amp; ""</f>
        <v/>
      </c>
      <c r="X15" s="7"/>
      <c r="Y15" s="11" t="str">
        <f>_xlfn.XLOOKUP($C15,AssetLocs!$A$1:$AAH$1,AssetLocs!$A$9:$AAH$9,"") &amp; ""</f>
        <v/>
      </c>
      <c r="Z15" s="11" t="str">
        <f>_xlfn.XLOOKUP($C15,AssetLocs!$A$1:$AAH$1,AssetLocs!$B$9:$AAI$9,"") &amp; ""</f>
        <v/>
      </c>
      <c r="AA15" s="7"/>
      <c r="AB15" s="11" t="str">
        <f>_xlfn.XLOOKUP($C15,AssetLocs!$A$1:$AAH$1,AssetLocs!$A$10:$AAH$10,"") &amp; ""</f>
        <v/>
      </c>
      <c r="AC15" s="11" t="str">
        <f>_xlfn.XLOOKUP($C15,AssetLocs!$A$1:$AAH$1,AssetLocs!$B$10:$AAI$10,"") &amp; ""</f>
        <v/>
      </c>
      <c r="AD15" s="7"/>
    </row>
    <row r="16" spans="1:30" x14ac:dyDescent="0.2">
      <c r="A16" t="str" cm="1">
        <f t="array" aca="1" ref="A16" ca="1">INDEX(INDIRECT(VLOOKUP($C$4, RoomLocs!$A$2:$B$35,2,)),ROW()-4,COLUMN()) &amp; ""</f>
        <v>Wall</v>
      </c>
      <c r="B16" t="str" cm="1">
        <f t="array" aca="1" ref="B16" ca="1">INDEX(INDIRECT(VLOOKUP($C$4, RoomLocs!$A$2:$B$35,2,)),ROW()-4,COLUMN()) &amp; ""</f>
        <v>2</v>
      </c>
      <c r="C16" s="8"/>
      <c r="D16" t="str">
        <f>_xlfn.XLOOKUP($C16,AssetLocs!$A$1:$AAH$1,AssetLocs!$A$2:$AAH$2,"") &amp; ""</f>
        <v/>
      </c>
      <c r="E16" t="str">
        <f>_xlfn.XLOOKUP($C16,AssetLocs!$A$1:$AAH$1,AssetLocs!$B$2:$AAI$2,"") &amp; ""</f>
        <v/>
      </c>
      <c r="F16" s="8"/>
      <c r="G16" t="str">
        <f>_xlfn.XLOOKUP($C16,AssetLocs!$A$1:$AAH$1,AssetLocs!$A$3:$AAH$3,"") &amp; ""</f>
        <v/>
      </c>
      <c r="H16" t="str">
        <f>_xlfn.XLOOKUP($C16,AssetLocs!$A$1:$AAH$1,AssetLocs!$B$3:$AAI$3,"") &amp; ""</f>
        <v/>
      </c>
      <c r="I16" s="7"/>
      <c r="J16" t="str">
        <f>_xlfn.XLOOKUP($C16,AssetLocs!$A$1:$AAH$1,AssetLocs!$A$4:$AAH$4,"") &amp; ""</f>
        <v/>
      </c>
      <c r="K16" t="str">
        <f>_xlfn.XLOOKUP($C16,AssetLocs!$A$1:$AAH$1,AssetLocs!$B$4:$AAI$4,"") &amp; ""</f>
        <v/>
      </c>
      <c r="L16" s="7"/>
      <c r="M16" t="str">
        <f>_xlfn.XLOOKUP($C16,AssetLocs!$A$1:$AAH$1,AssetLocs!$A$5:$AAH$5,"") &amp; ""</f>
        <v/>
      </c>
      <c r="N16" t="str">
        <f>_xlfn.XLOOKUP($C16,AssetLocs!$A$1:$AAH$1,AssetLocs!$B$5:$AAI$5,"") &amp; ""</f>
        <v/>
      </c>
      <c r="O16" s="7"/>
      <c r="P16" t="str">
        <f>_xlfn.XLOOKUP($C16,AssetLocs!$A$1:$AAH$1,AssetLocs!$A$6:$AAH$6,"") &amp; ""</f>
        <v/>
      </c>
      <c r="Q16" t="str">
        <f>_xlfn.XLOOKUP($C16,AssetLocs!$A$1:$AAH$1,AssetLocs!$B$6:$AAI$6,"") &amp; ""</f>
        <v/>
      </c>
      <c r="R16" s="7"/>
      <c r="S16" t="str">
        <f>_xlfn.XLOOKUP($C16,AssetLocs!$A$1:$AAH$1,AssetLocs!$A$7:$AAH$7,"") &amp; ""</f>
        <v/>
      </c>
      <c r="T16" t="str">
        <f>_xlfn.XLOOKUP($C16,AssetLocs!$A$1:$AAH$1,AssetLocs!$B$7:$AAI$7,"") &amp; ""</f>
        <v/>
      </c>
      <c r="U16" s="7"/>
      <c r="V16" t="str">
        <f>_xlfn.XLOOKUP($C16,AssetLocs!$A$1:$AAH$1,AssetLocs!$A$8:$AAH$8,"") &amp; ""</f>
        <v/>
      </c>
      <c r="W16" t="str">
        <f>_xlfn.XLOOKUP($C16,AssetLocs!$A$1:$AAH$1,AssetLocs!$B$8:$AAI$8,"") &amp; ""</f>
        <v/>
      </c>
      <c r="X16" s="7"/>
      <c r="Y16" s="11" t="str">
        <f>_xlfn.XLOOKUP($C16,AssetLocs!$A$1:$AAH$1,AssetLocs!$A$9:$AAH$9,"") &amp; ""</f>
        <v/>
      </c>
      <c r="Z16" s="11" t="str">
        <f>_xlfn.XLOOKUP($C16,AssetLocs!$A$1:$AAH$1,AssetLocs!$B$9:$AAI$9,"") &amp; ""</f>
        <v/>
      </c>
      <c r="AA16" s="7"/>
      <c r="AB16" s="11" t="str">
        <f>_xlfn.XLOOKUP($C16,AssetLocs!$A$1:$AAH$1,AssetLocs!$A$10:$AAH$10,"") &amp; ""</f>
        <v/>
      </c>
      <c r="AC16" s="11" t="str">
        <f>_xlfn.XLOOKUP($C16,AssetLocs!$A$1:$AAH$1,AssetLocs!$B$10:$AAI$10,"") &amp; ""</f>
        <v/>
      </c>
      <c r="AD16" s="7"/>
    </row>
    <row r="17" spans="1:30" x14ac:dyDescent="0.2">
      <c r="A17" t="str" cm="1">
        <f t="array" aca="1" ref="A17" ca="1">INDEX(INDIRECT(VLOOKUP($C$4, RoomLocs!$A$2:$B$35,2,)),ROW()-4,COLUMN()) &amp; ""</f>
        <v>BedsideHead</v>
      </c>
      <c r="B17" t="str" cm="1">
        <f t="array" aca="1" ref="B17" ca="1">INDEX(INDIRECT(VLOOKUP($C$4, RoomLocs!$A$2:$B$35,2,)),ROW()-4,COLUMN()) &amp; ""</f>
        <v>2</v>
      </c>
      <c r="C17" s="8"/>
      <c r="D17" t="str">
        <f>_xlfn.XLOOKUP($C17,AssetLocs!$A$1:$AAH$1,AssetLocs!$A$2:$AAH$2,"") &amp; ""</f>
        <v/>
      </c>
      <c r="E17" t="str">
        <f>_xlfn.XLOOKUP($C17,AssetLocs!$A$1:$AAH$1,AssetLocs!$B$2:$AAI$2,"") &amp; ""</f>
        <v/>
      </c>
      <c r="F17" s="8"/>
      <c r="G17" t="str">
        <f>_xlfn.XLOOKUP($C17,AssetLocs!$A$1:$AAH$1,AssetLocs!$A$3:$AAH$3,"") &amp; ""</f>
        <v/>
      </c>
      <c r="H17" t="str">
        <f>_xlfn.XLOOKUP($C17,AssetLocs!$A$1:$AAH$1,AssetLocs!$B$3:$AAI$3,"") &amp; ""</f>
        <v/>
      </c>
      <c r="I17" s="8"/>
      <c r="J17" t="str">
        <f>_xlfn.XLOOKUP($C17,AssetLocs!$A$1:$AAH$1,AssetLocs!$A$4:$AAH$4,"") &amp; ""</f>
        <v/>
      </c>
      <c r="K17" t="str">
        <f>_xlfn.XLOOKUP($C17,AssetLocs!$A$1:$AAH$1,AssetLocs!$B$4:$AAI$4,"") &amp; ""</f>
        <v/>
      </c>
      <c r="L17" s="8"/>
      <c r="M17" t="str">
        <f>_xlfn.XLOOKUP($C17,AssetLocs!$A$1:$AAH$1,AssetLocs!$A$5:$AAH$5,"") &amp; ""</f>
        <v/>
      </c>
      <c r="N17" t="str">
        <f>_xlfn.XLOOKUP($C17,AssetLocs!$A$1:$AAH$1,AssetLocs!$B$5:$AAI$5,"") &amp; ""</f>
        <v/>
      </c>
      <c r="O17" s="8"/>
      <c r="P17" t="str">
        <f>_xlfn.XLOOKUP($C17,AssetLocs!$A$1:$AAH$1,AssetLocs!$A$6:$AAH$6,"") &amp; ""</f>
        <v/>
      </c>
      <c r="Q17" t="str">
        <f>_xlfn.XLOOKUP($C17,AssetLocs!$A$1:$AAH$1,AssetLocs!$B$6:$AAI$6,"") &amp; ""</f>
        <v/>
      </c>
      <c r="R17" s="7"/>
      <c r="S17" t="str">
        <f>_xlfn.XLOOKUP($C17,AssetLocs!$A$1:$AAH$1,AssetLocs!$A$7:$AAH$7,"") &amp; ""</f>
        <v/>
      </c>
      <c r="T17" t="str">
        <f>_xlfn.XLOOKUP($C17,AssetLocs!$A$1:$AAH$1,AssetLocs!$B$7:$AAI$7,"") &amp; ""</f>
        <v/>
      </c>
      <c r="U17" s="7"/>
      <c r="V17" t="str">
        <f>_xlfn.XLOOKUP($C17,AssetLocs!$A$1:$AAH$1,AssetLocs!$A$8:$AAH$8,"") &amp; ""</f>
        <v/>
      </c>
      <c r="W17" t="str">
        <f>_xlfn.XLOOKUP($C17,AssetLocs!$A$1:$AAH$1,AssetLocs!$B$8:$AAI$8,"") &amp; ""</f>
        <v/>
      </c>
      <c r="X17" s="7"/>
      <c r="Y17" s="11" t="str">
        <f>_xlfn.XLOOKUP($C17,AssetLocs!$A$1:$AAH$1,AssetLocs!$A$9:$AAH$9,"") &amp; ""</f>
        <v/>
      </c>
      <c r="Z17" s="11" t="str">
        <f>_xlfn.XLOOKUP($C17,AssetLocs!$A$1:$AAH$1,AssetLocs!$B$9:$AAI$9,"") &amp; ""</f>
        <v/>
      </c>
      <c r="AA17" s="7"/>
      <c r="AB17" s="11" t="str">
        <f>_xlfn.XLOOKUP($C17,AssetLocs!$A$1:$AAH$1,AssetLocs!$A$10:$AAH$10,"") &amp; ""</f>
        <v/>
      </c>
      <c r="AC17" s="11" t="str">
        <f>_xlfn.XLOOKUP($C17,AssetLocs!$A$1:$AAH$1,AssetLocs!$B$10:$AAI$10,"") &amp; ""</f>
        <v/>
      </c>
      <c r="AD17" s="7"/>
    </row>
    <row r="18" spans="1:30" x14ac:dyDescent="0.2">
      <c r="A18" t="str" cm="1">
        <f t="array" aca="1" ref="A18" ca="1">INDEX(INDIRECT(VLOOKUP($C$4, RoomLocs!$A$2:$B$35,2,)),ROW()-4,COLUMN()) &amp; ""</f>
        <v>BedsideHeadLeft</v>
      </c>
      <c r="B18" t="str" cm="1">
        <f t="array" aca="1" ref="B18" ca="1">INDEX(INDIRECT(VLOOKUP($C$4, RoomLocs!$A$2:$B$35,2,)),ROW()-4,COLUMN()) &amp; ""</f>
        <v>2</v>
      </c>
      <c r="C18" s="8"/>
      <c r="D18" t="str">
        <f>_xlfn.XLOOKUP($C18,AssetLocs!$A$1:$AAH$1,AssetLocs!$A$2:$AAH$2,"") &amp; ""</f>
        <v/>
      </c>
      <c r="E18" t="str">
        <f>_xlfn.XLOOKUP($C18,AssetLocs!$A$1:$AAH$1,AssetLocs!$B$2:$AAI$2,"") &amp; ""</f>
        <v/>
      </c>
      <c r="F18" s="8"/>
      <c r="G18" t="str">
        <f>_xlfn.XLOOKUP($C18,AssetLocs!$A$1:$AAH$1,AssetLocs!$A$3:$AAH$3,"") &amp; ""</f>
        <v/>
      </c>
      <c r="H18" t="str">
        <f>_xlfn.XLOOKUP($C18,AssetLocs!$A$1:$AAH$1,AssetLocs!$B$3:$AAI$3,"") &amp; ""</f>
        <v/>
      </c>
      <c r="I18" s="7"/>
      <c r="J18" t="str">
        <f>_xlfn.XLOOKUP($C18,AssetLocs!$A$1:$AAH$1,AssetLocs!$A$4:$AAH$4,"") &amp; ""</f>
        <v/>
      </c>
      <c r="K18" t="str">
        <f>_xlfn.XLOOKUP($C18,AssetLocs!$A$1:$AAH$1,AssetLocs!$B$4:$AAI$4,"") &amp; ""</f>
        <v/>
      </c>
      <c r="L18" s="7"/>
      <c r="M18" t="str">
        <f>_xlfn.XLOOKUP($C18,AssetLocs!$A$1:$AAH$1,AssetLocs!$A$5:$AAH$5,"") &amp; ""</f>
        <v/>
      </c>
      <c r="N18" t="str">
        <f>_xlfn.XLOOKUP($C18,AssetLocs!$A$1:$AAH$1,AssetLocs!$B$5:$AAI$5,"") &amp; ""</f>
        <v/>
      </c>
      <c r="O18" s="7"/>
      <c r="P18" t="str">
        <f>_xlfn.XLOOKUP($C18,AssetLocs!$A$1:$AAH$1,AssetLocs!$A$6:$AAH$6,"") &amp; ""</f>
        <v/>
      </c>
      <c r="Q18" t="str">
        <f>_xlfn.XLOOKUP($C18,AssetLocs!$A$1:$AAH$1,AssetLocs!$B$6:$AAI$6,"") &amp; ""</f>
        <v/>
      </c>
      <c r="R18" s="7"/>
      <c r="S18" t="str">
        <f>_xlfn.XLOOKUP($C18,AssetLocs!$A$1:$AAH$1,AssetLocs!$A$7:$AAH$7,"") &amp; ""</f>
        <v/>
      </c>
      <c r="T18" t="str">
        <f>_xlfn.XLOOKUP($C18,AssetLocs!$A$1:$AAH$1,AssetLocs!$B$7:$AAI$7,"") &amp; ""</f>
        <v/>
      </c>
      <c r="U18" s="7"/>
      <c r="V18" t="str">
        <f>_xlfn.XLOOKUP($C18,AssetLocs!$A$1:$AAH$1,AssetLocs!$A$8:$AAH$8,"") &amp; ""</f>
        <v/>
      </c>
      <c r="W18" t="str">
        <f>_xlfn.XLOOKUP($C18,AssetLocs!$A$1:$AAH$1,AssetLocs!$B$8:$AAI$8,"") &amp; ""</f>
        <v/>
      </c>
      <c r="X18" s="7"/>
      <c r="Y18" s="11" t="str">
        <f>_xlfn.XLOOKUP($C18,AssetLocs!$A$1:$AAH$1,AssetLocs!$A$9:$AAH$9,"") &amp; ""</f>
        <v/>
      </c>
      <c r="Z18" s="11" t="str">
        <f>_xlfn.XLOOKUP($C18,AssetLocs!$A$1:$AAH$1,AssetLocs!$B$9:$AAI$9,"") &amp; ""</f>
        <v/>
      </c>
      <c r="AA18" s="7"/>
      <c r="AB18" s="11" t="str">
        <f>_xlfn.XLOOKUP($C18,AssetLocs!$A$1:$AAH$1,AssetLocs!$A$10:$AAH$10,"") &amp; ""</f>
        <v/>
      </c>
      <c r="AC18" s="11" t="str">
        <f>_xlfn.XLOOKUP($C18,AssetLocs!$A$1:$AAH$1,AssetLocs!$B$10:$AAI$10,"") &amp; ""</f>
        <v/>
      </c>
      <c r="AD18" s="7"/>
    </row>
    <row r="19" spans="1:30" x14ac:dyDescent="0.2">
      <c r="A19" t="str" cm="1">
        <f t="array" aca="1" ref="A19" ca="1">INDEX(INDIRECT(VLOOKUP($C$4, RoomLocs!$A$2:$B$35,2,)),ROW()-4,COLUMN()) &amp; ""</f>
        <v>BedsideMid</v>
      </c>
      <c r="B19" t="str" cm="1">
        <f t="array" aca="1" ref="B19" ca="1">INDEX(INDIRECT(VLOOKUP($C$4, RoomLocs!$A$2:$B$35,2,)),ROW()-4,COLUMN()) &amp; ""</f>
        <v>2</v>
      </c>
      <c r="C19" s="8"/>
      <c r="D19" t="str">
        <f>_xlfn.XLOOKUP($C19,AssetLocs!$A$1:$AAH$1,AssetLocs!$A$2:$AAH$2,"") &amp; ""</f>
        <v/>
      </c>
      <c r="E19" t="str">
        <f>_xlfn.XLOOKUP($C19,AssetLocs!$A$1:$AAH$1,AssetLocs!$B$2:$AAI$2,"") &amp; ""</f>
        <v/>
      </c>
      <c r="F19" s="7"/>
      <c r="G19" t="str">
        <f>_xlfn.XLOOKUP($C19,AssetLocs!$A$1:$AAH$1,AssetLocs!$A$3:$AAH$3,"") &amp; ""</f>
        <v/>
      </c>
      <c r="H19" t="str">
        <f>_xlfn.XLOOKUP($C19,AssetLocs!$A$1:$AAH$1,AssetLocs!$B$3:$AAI$3,"") &amp; ""</f>
        <v/>
      </c>
      <c r="I19" s="7"/>
      <c r="J19" t="str">
        <f>_xlfn.XLOOKUP($C19,AssetLocs!$A$1:$AAH$1,AssetLocs!$A$4:$AAH$4,"") &amp; ""</f>
        <v/>
      </c>
      <c r="K19" t="str">
        <f>_xlfn.XLOOKUP($C19,AssetLocs!$A$1:$AAH$1,AssetLocs!$B$4:$AAI$4,"") &amp; ""</f>
        <v/>
      </c>
      <c r="L19" s="7"/>
      <c r="M19" t="str">
        <f>_xlfn.XLOOKUP($C19,AssetLocs!$A$1:$AAH$1,AssetLocs!$A$5:$AAH$5,"") &amp; ""</f>
        <v/>
      </c>
      <c r="N19" t="str">
        <f>_xlfn.XLOOKUP($C19,AssetLocs!$A$1:$AAH$1,AssetLocs!$B$5:$AAI$5,"") &amp; ""</f>
        <v/>
      </c>
      <c r="O19" s="7"/>
      <c r="P19" t="str">
        <f>_xlfn.XLOOKUP($C19,AssetLocs!$A$1:$AAH$1,AssetLocs!$A$6:$AAH$6,"") &amp; ""</f>
        <v/>
      </c>
      <c r="Q19" t="str">
        <f>_xlfn.XLOOKUP($C19,AssetLocs!$A$1:$AAH$1,AssetLocs!$B$6:$AAI$6,"") &amp; ""</f>
        <v/>
      </c>
      <c r="R19" s="7"/>
      <c r="S19" t="str">
        <f>_xlfn.XLOOKUP($C19,AssetLocs!$A$1:$AAH$1,AssetLocs!$A$7:$AAH$7,"") &amp; ""</f>
        <v/>
      </c>
      <c r="T19" t="str">
        <f>_xlfn.XLOOKUP($C19,AssetLocs!$A$1:$AAH$1,AssetLocs!$B$7:$AAI$7,"") &amp; ""</f>
        <v/>
      </c>
      <c r="U19" s="7"/>
      <c r="V19" t="str">
        <f>_xlfn.XLOOKUP($C19,AssetLocs!$A$1:$AAH$1,AssetLocs!$A$8:$AAH$8,"") &amp; ""</f>
        <v/>
      </c>
      <c r="W19" t="str">
        <f>_xlfn.XLOOKUP($C19,AssetLocs!$A$1:$AAH$1,AssetLocs!$B$8:$AAI$8,"") &amp; ""</f>
        <v/>
      </c>
      <c r="X19" s="7"/>
      <c r="Y19" s="11" t="str">
        <f>_xlfn.XLOOKUP($C19,AssetLocs!$A$1:$AAH$1,AssetLocs!$A$9:$AAH$9,"") &amp; ""</f>
        <v/>
      </c>
      <c r="Z19" s="11" t="str">
        <f>_xlfn.XLOOKUP($C19,AssetLocs!$A$1:$AAH$1,AssetLocs!$B$9:$AAI$9,"") &amp; ""</f>
        <v/>
      </c>
      <c r="AA19" s="7"/>
      <c r="AB19" s="11" t="str">
        <f>_xlfn.XLOOKUP($C19,AssetLocs!$A$1:$AAH$1,AssetLocs!$A$10:$AAH$10,"") &amp; ""</f>
        <v/>
      </c>
      <c r="AC19" s="11" t="str">
        <f>_xlfn.XLOOKUP($C19,AssetLocs!$A$1:$AAH$1,AssetLocs!$B$10:$AAI$10,"") &amp; ""</f>
        <v/>
      </c>
      <c r="AD19" s="7"/>
    </row>
    <row r="20" spans="1:30" x14ac:dyDescent="0.2">
      <c r="A20" t="str" cm="1">
        <f t="array" aca="1" ref="A20" ca="1">INDEX(INDIRECT(VLOOKUP($C$4, RoomLocs!$A$2:$B$35,2,)),ROW()-4,COLUMN()) &amp; ""</f>
        <v>BedsideFoot</v>
      </c>
      <c r="B20" t="str" cm="1">
        <f t="array" aca="1" ref="B20" ca="1">INDEX(INDIRECT(VLOOKUP($C$4, RoomLocs!$A$2:$B$35,2,)),ROW()-4,COLUMN()) &amp; ""</f>
        <v>2</v>
      </c>
      <c r="C20" s="8"/>
      <c r="D20" t="str">
        <f>_xlfn.XLOOKUP($C20,AssetLocs!$A$1:$AAH$1,AssetLocs!$A$2:$AAH$2,"") &amp; ""</f>
        <v/>
      </c>
      <c r="E20" t="str">
        <f>_xlfn.XLOOKUP($C20,AssetLocs!$A$1:$AAH$1,AssetLocs!$B$2:$AAI$2,"") &amp; ""</f>
        <v/>
      </c>
      <c r="F20" s="7"/>
      <c r="G20" t="str">
        <f>_xlfn.XLOOKUP($C20,AssetLocs!$A$1:$AAH$1,AssetLocs!$A$3:$AAH$3,"") &amp; ""</f>
        <v/>
      </c>
      <c r="H20" t="str">
        <f>_xlfn.XLOOKUP($C20,AssetLocs!$A$1:$AAH$1,AssetLocs!$B$3:$AAI$3,"") &amp; ""</f>
        <v/>
      </c>
      <c r="I20" s="7"/>
      <c r="J20" t="str">
        <f>_xlfn.XLOOKUP($C20,AssetLocs!$A$1:$AAH$1,AssetLocs!$A$4:$AAH$4,"") &amp; ""</f>
        <v/>
      </c>
      <c r="K20" t="str">
        <f>_xlfn.XLOOKUP($C20,AssetLocs!$A$1:$AAH$1,AssetLocs!$B$4:$AAI$4,"") &amp; ""</f>
        <v/>
      </c>
      <c r="L20" s="7"/>
      <c r="M20" t="str">
        <f>_xlfn.XLOOKUP($C20,AssetLocs!$A$1:$AAH$1,AssetLocs!$A$5:$AAH$5,"") &amp; ""</f>
        <v/>
      </c>
      <c r="N20" t="str">
        <f>_xlfn.XLOOKUP($C20,AssetLocs!$A$1:$AAH$1,AssetLocs!$B$5:$AAI$5,"") &amp; ""</f>
        <v/>
      </c>
      <c r="O20" s="7"/>
      <c r="P20" t="str">
        <f>_xlfn.XLOOKUP($C20,AssetLocs!$A$1:$AAH$1,AssetLocs!$A$6:$AAH$6,"") &amp; ""</f>
        <v/>
      </c>
      <c r="Q20" t="str">
        <f>_xlfn.XLOOKUP($C20,AssetLocs!$A$1:$AAH$1,AssetLocs!$B$6:$AAI$6,"") &amp; ""</f>
        <v/>
      </c>
      <c r="R20" s="7"/>
      <c r="S20" t="str">
        <f>_xlfn.XLOOKUP($C20,AssetLocs!$A$1:$AAH$1,AssetLocs!$A$7:$AAH$7,"") &amp; ""</f>
        <v/>
      </c>
      <c r="T20" t="str">
        <f>_xlfn.XLOOKUP($C20,AssetLocs!$A$1:$AAH$1,AssetLocs!$B$7:$AAI$7,"") &amp; ""</f>
        <v/>
      </c>
      <c r="U20" s="7"/>
      <c r="V20" t="str">
        <f>_xlfn.XLOOKUP($C20,AssetLocs!$A$1:$AAH$1,AssetLocs!$A$8:$AAH$8,"") &amp; ""</f>
        <v/>
      </c>
      <c r="W20" t="str">
        <f>_xlfn.XLOOKUP($C20,AssetLocs!$A$1:$AAH$1,AssetLocs!$B$8:$AAI$8,"") &amp; ""</f>
        <v/>
      </c>
      <c r="X20" s="7"/>
      <c r="Y20" s="11" t="str">
        <f>_xlfn.XLOOKUP($C20,AssetLocs!$A$1:$AAH$1,AssetLocs!$A$9:$AAH$9,"") &amp; ""</f>
        <v/>
      </c>
      <c r="Z20" s="11" t="str">
        <f>_xlfn.XLOOKUP($C20,AssetLocs!$A$1:$AAH$1,AssetLocs!$B$9:$AAI$9,"") &amp; ""</f>
        <v/>
      </c>
      <c r="AA20" s="7"/>
      <c r="AB20" s="11" t="str">
        <f>_xlfn.XLOOKUP($C20,AssetLocs!$A$1:$AAH$1,AssetLocs!$A$10:$AAH$10,"") &amp; ""</f>
        <v/>
      </c>
      <c r="AC20" s="11" t="str">
        <f>_xlfn.XLOOKUP($C20,AssetLocs!$A$1:$AAH$1,AssetLocs!$B$10:$AAI$10,"") &amp; ""</f>
        <v/>
      </c>
      <c r="AD20" s="7"/>
    </row>
    <row r="21" spans="1:30" x14ac:dyDescent="0.2">
      <c r="A21" t="str" cm="1">
        <f t="array" aca="1" ref="A21" ca="1">INDEX(INDIRECT(VLOOKUP($C$4, RoomLocs!$A$2:$B$35,2,)),ROW()-4,COLUMN()) &amp; ""</f>
        <v>Desk</v>
      </c>
      <c r="B21" t="str" cm="1">
        <f t="array" aca="1" ref="B21" ca="1">INDEX(INDIRECT(VLOOKUP($C$4, RoomLocs!$A$2:$B$35,2,)),ROW()-4,COLUMN()) &amp; ""</f>
        <v>2</v>
      </c>
      <c r="C21" s="8"/>
      <c r="D21" t="str">
        <f>_xlfn.XLOOKUP($C21,AssetLocs!$A$1:$AAH$1,AssetLocs!$A$2:$AAH$2,"") &amp; ""</f>
        <v/>
      </c>
      <c r="E21" t="str">
        <f>_xlfn.XLOOKUP($C21,AssetLocs!$A$1:$AAH$1,AssetLocs!$B$2:$AAI$2,"") &amp; ""</f>
        <v/>
      </c>
      <c r="F21" s="7"/>
      <c r="G21" t="str">
        <f>_xlfn.XLOOKUP($C21,AssetLocs!$A$1:$AAH$1,AssetLocs!$A$3:$AAH$3,"") &amp; ""</f>
        <v/>
      </c>
      <c r="H21" t="str">
        <f>_xlfn.XLOOKUP($C21,AssetLocs!$A$1:$AAH$1,AssetLocs!$B$3:$AAI$3,"") &amp; ""</f>
        <v/>
      </c>
      <c r="I21" s="7"/>
      <c r="J21" t="str">
        <f>_xlfn.XLOOKUP($C21,AssetLocs!$A$1:$AAH$1,AssetLocs!$A$4:$AAH$4,"") &amp; ""</f>
        <v/>
      </c>
      <c r="K21" t="str">
        <f>_xlfn.XLOOKUP($C21,AssetLocs!$A$1:$AAH$1,AssetLocs!$B$4:$AAI$4,"") &amp; ""</f>
        <v/>
      </c>
      <c r="L21" s="7"/>
      <c r="M21" t="str">
        <f>_xlfn.XLOOKUP($C21,AssetLocs!$A$1:$AAH$1,AssetLocs!$A$5:$AAH$5,"") &amp; ""</f>
        <v/>
      </c>
      <c r="N21" t="str">
        <f>_xlfn.XLOOKUP($C21,AssetLocs!$A$1:$AAH$1,AssetLocs!$B$5:$AAI$5,"") &amp; ""</f>
        <v/>
      </c>
      <c r="O21" s="7"/>
      <c r="P21" t="str">
        <f>_xlfn.XLOOKUP($C21,AssetLocs!$A$1:$AAH$1,AssetLocs!$A$6:$AAH$6,"") &amp; ""</f>
        <v/>
      </c>
      <c r="Q21" t="str">
        <f>_xlfn.XLOOKUP($C21,AssetLocs!$A$1:$AAH$1,AssetLocs!$B$6:$AAI$6,"") &amp; ""</f>
        <v/>
      </c>
      <c r="R21" s="7"/>
      <c r="S21" t="str">
        <f>_xlfn.XLOOKUP($C21,AssetLocs!$A$1:$AAH$1,AssetLocs!$A$7:$AAH$7,"") &amp; ""</f>
        <v/>
      </c>
      <c r="T21" t="str">
        <f>_xlfn.XLOOKUP($C21,AssetLocs!$A$1:$AAH$1,AssetLocs!$B$7:$AAI$7,"") &amp; ""</f>
        <v/>
      </c>
      <c r="U21" s="7"/>
      <c r="V21" t="str">
        <f>_xlfn.XLOOKUP($C21,AssetLocs!$A$1:$AAH$1,AssetLocs!$A$8:$AAH$8,"") &amp; ""</f>
        <v/>
      </c>
      <c r="W21" t="str">
        <f>_xlfn.XLOOKUP($C21,AssetLocs!$A$1:$AAH$1,AssetLocs!$B$8:$AAI$8,"") &amp; ""</f>
        <v/>
      </c>
      <c r="X21" s="7"/>
      <c r="Y21" s="11" t="str">
        <f>_xlfn.XLOOKUP($C21,AssetLocs!$A$1:$AAH$1,AssetLocs!$A$9:$AAH$9,"") &amp; ""</f>
        <v/>
      </c>
      <c r="Z21" s="11" t="str">
        <f>_xlfn.XLOOKUP($C21,AssetLocs!$A$1:$AAH$1,AssetLocs!$B$9:$AAI$9,"") &amp; ""</f>
        <v/>
      </c>
      <c r="AA21" s="7"/>
      <c r="AB21" s="11" t="str">
        <f>_xlfn.XLOOKUP($C21,AssetLocs!$A$1:$AAH$1,AssetLocs!$A$10:$AAH$10,"") &amp; ""</f>
        <v/>
      </c>
      <c r="AC21" s="11" t="str">
        <f>_xlfn.XLOOKUP($C21,AssetLocs!$A$1:$AAH$1,AssetLocs!$B$10:$AAI$10,"") &amp; ""</f>
        <v/>
      </c>
      <c r="AD21" s="7"/>
    </row>
    <row r="22" spans="1:30" x14ac:dyDescent="0.2">
      <c r="A22" t="str" cm="1">
        <f t="array" aca="1" ref="A22" ca="1">INDEX(INDIRECT(VLOOKUP($C$4, RoomLocs!$A$2:$B$35,2,)),ROW()-4,COLUMN()) &amp; ""</f>
        <v>Cart</v>
      </c>
      <c r="B22" t="str" cm="1">
        <f t="array" aca="1" ref="B22" ca="1">INDEX(INDIRECT(VLOOKUP($C$4, RoomLocs!$A$2:$B$35,2,)),ROW()-4,COLUMN()) &amp; ""</f>
        <v>2</v>
      </c>
      <c r="C22" s="8"/>
      <c r="D22" t="str">
        <f>_xlfn.XLOOKUP($C22,AssetLocs!$A$1:$AAH$1,AssetLocs!$A$2:$AAH$2,"") &amp; ""</f>
        <v/>
      </c>
      <c r="E22" t="str">
        <f>_xlfn.XLOOKUP($C22,AssetLocs!$A$1:$AAH$1,AssetLocs!$B$2:$AAI$2,"") &amp; ""</f>
        <v/>
      </c>
      <c r="F22" s="7"/>
      <c r="G22" t="str">
        <f>_xlfn.XLOOKUP($C22,AssetLocs!$A$1:$AAH$1,AssetLocs!$A$3:$AAH$3,"") &amp; ""</f>
        <v/>
      </c>
      <c r="H22" t="str">
        <f>_xlfn.XLOOKUP($C22,AssetLocs!$A$1:$AAH$1,AssetLocs!$B$3:$AAI$3,"") &amp; ""</f>
        <v/>
      </c>
      <c r="I22" s="7"/>
      <c r="J22" t="str">
        <f>_xlfn.XLOOKUP($C22,AssetLocs!$A$1:$AAH$1,AssetLocs!$A$4:$AAH$4,"") &amp; ""</f>
        <v/>
      </c>
      <c r="K22" t="str">
        <f>_xlfn.XLOOKUP($C22,AssetLocs!$A$1:$AAH$1,AssetLocs!$B$4:$AAI$4,"") &amp; ""</f>
        <v/>
      </c>
      <c r="L22" s="7"/>
      <c r="M22" t="str">
        <f>_xlfn.XLOOKUP($C22,AssetLocs!$A$1:$AAH$1,AssetLocs!$A$5:$AAH$5,"") &amp; ""</f>
        <v/>
      </c>
      <c r="N22" t="str">
        <f>_xlfn.XLOOKUP($C22,AssetLocs!$A$1:$AAH$1,AssetLocs!$B$5:$AAI$5,"") &amp; ""</f>
        <v/>
      </c>
      <c r="O22" s="7"/>
      <c r="P22" t="str">
        <f>_xlfn.XLOOKUP($C22,AssetLocs!$A$1:$AAH$1,AssetLocs!$A$6:$AAH$6,"") &amp; ""</f>
        <v/>
      </c>
      <c r="Q22" t="str">
        <f>_xlfn.XLOOKUP($C22,AssetLocs!$A$1:$AAH$1,AssetLocs!$B$6:$AAI$6,"") &amp; ""</f>
        <v/>
      </c>
      <c r="R22" s="7"/>
      <c r="S22" t="str">
        <f>_xlfn.XLOOKUP($C22,AssetLocs!$A$1:$AAH$1,AssetLocs!$A$7:$AAH$7,"") &amp; ""</f>
        <v/>
      </c>
      <c r="T22" t="str">
        <f>_xlfn.XLOOKUP($C22,AssetLocs!$A$1:$AAH$1,AssetLocs!$B$7:$AAI$7,"") &amp; ""</f>
        <v/>
      </c>
      <c r="U22" s="7"/>
      <c r="V22" t="str">
        <f>_xlfn.XLOOKUP($C22,AssetLocs!$A$1:$AAH$1,AssetLocs!$A$8:$AAH$8,"") &amp; ""</f>
        <v/>
      </c>
      <c r="W22" t="str">
        <f>_xlfn.XLOOKUP($C22,AssetLocs!$A$1:$AAH$1,AssetLocs!$B$8:$AAI$8,"") &amp; ""</f>
        <v/>
      </c>
      <c r="X22" s="7"/>
      <c r="Y22" s="11" t="str">
        <f>_xlfn.XLOOKUP($C22,AssetLocs!$A$1:$AAH$1,AssetLocs!$A$9:$AAH$9,"") &amp; ""</f>
        <v/>
      </c>
      <c r="Z22" s="11" t="str">
        <f>_xlfn.XLOOKUP($C22,AssetLocs!$A$1:$AAH$1,AssetLocs!$B$9:$AAI$9,"") &amp; ""</f>
        <v/>
      </c>
      <c r="AA22" s="7"/>
      <c r="AB22" s="11" t="str">
        <f>_xlfn.XLOOKUP($C22,AssetLocs!$A$1:$AAH$1,AssetLocs!$A$10:$AAH$10,"") &amp; ""</f>
        <v/>
      </c>
      <c r="AC22" s="11" t="str">
        <f>_xlfn.XLOOKUP($C22,AssetLocs!$A$1:$AAH$1,AssetLocs!$B$10:$AAI$10,"") &amp; ""</f>
        <v/>
      </c>
      <c r="AD22" s="7"/>
    </row>
    <row r="23" spans="1:30" x14ac:dyDescent="0.2">
      <c r="A23" t="str" cm="1">
        <f t="array" aca="1" ref="A23" ca="1">INDEX(INDIRECT(VLOOKUP($C$4, RoomLocs!$A$2:$B$35,2,)),ROW()-4,COLUMN()) &amp; ""</f>
        <v>Bin</v>
      </c>
      <c r="B23" t="str" cm="1">
        <f t="array" aca="1" ref="B23" ca="1">INDEX(INDIRECT(VLOOKUP($C$4, RoomLocs!$A$2:$B$35,2,)),ROW()-4,COLUMN()) &amp; ""</f>
        <v>2</v>
      </c>
      <c r="C23" s="8"/>
      <c r="D23" t="str">
        <f>_xlfn.XLOOKUP($C23,AssetLocs!$A$1:$AAH$1,AssetLocs!$A$2:$AAH$2,"") &amp; ""</f>
        <v/>
      </c>
      <c r="E23" t="str">
        <f>_xlfn.XLOOKUP($C23,AssetLocs!$A$1:$AAH$1,AssetLocs!$B$2:$AAI$2,"") &amp; ""</f>
        <v/>
      </c>
      <c r="F23" s="7"/>
      <c r="G23" t="str">
        <f>_xlfn.XLOOKUP($C23,AssetLocs!$A$1:$AAH$1,AssetLocs!$A$3:$AAH$3,"") &amp; ""</f>
        <v/>
      </c>
      <c r="H23" t="str">
        <f>_xlfn.XLOOKUP($C23,AssetLocs!$A$1:$AAH$1,AssetLocs!$B$3:$AAI$3,"") &amp; ""</f>
        <v/>
      </c>
      <c r="I23" s="7"/>
      <c r="J23" t="str">
        <f>_xlfn.XLOOKUP($C23,AssetLocs!$A$1:$AAH$1,AssetLocs!$A$4:$AAH$4,"") &amp; ""</f>
        <v/>
      </c>
      <c r="K23" t="str">
        <f>_xlfn.XLOOKUP($C23,AssetLocs!$A$1:$AAH$1,AssetLocs!$B$4:$AAI$4,"") &amp; ""</f>
        <v/>
      </c>
      <c r="L23" s="7"/>
      <c r="M23" t="str">
        <f>_xlfn.XLOOKUP($C23,AssetLocs!$A$1:$AAH$1,AssetLocs!$A$5:$AAH$5,"") &amp; ""</f>
        <v/>
      </c>
      <c r="N23" t="str">
        <f>_xlfn.XLOOKUP($C23,AssetLocs!$A$1:$AAH$1,AssetLocs!$B$5:$AAI$5,"") &amp; ""</f>
        <v/>
      </c>
      <c r="O23" s="7"/>
      <c r="P23" t="str">
        <f>_xlfn.XLOOKUP($C23,AssetLocs!$A$1:$AAH$1,AssetLocs!$A$6:$AAH$6,"") &amp; ""</f>
        <v/>
      </c>
      <c r="Q23" t="str">
        <f>_xlfn.XLOOKUP($C23,AssetLocs!$A$1:$AAH$1,AssetLocs!$B$6:$AAI$6,"") &amp; ""</f>
        <v/>
      </c>
      <c r="R23" s="7"/>
      <c r="S23" t="str">
        <f>_xlfn.XLOOKUP($C23,AssetLocs!$A$1:$AAH$1,AssetLocs!$A$7:$AAH$7,"") &amp; ""</f>
        <v/>
      </c>
      <c r="T23" t="str">
        <f>_xlfn.XLOOKUP($C23,AssetLocs!$A$1:$AAH$1,AssetLocs!$B$7:$AAI$7,"") &amp; ""</f>
        <v/>
      </c>
      <c r="U23" s="7"/>
      <c r="V23" t="str">
        <f>_xlfn.XLOOKUP($C23,AssetLocs!$A$1:$AAH$1,AssetLocs!$A$8:$AAH$8,"") &amp; ""</f>
        <v/>
      </c>
      <c r="W23" t="str">
        <f>_xlfn.XLOOKUP($C23,AssetLocs!$A$1:$AAH$1,AssetLocs!$B$8:$AAI$8,"") &amp; ""</f>
        <v/>
      </c>
      <c r="X23" s="7"/>
      <c r="Y23" s="11" t="str">
        <f>_xlfn.XLOOKUP($C23,AssetLocs!$A$1:$AAH$1,AssetLocs!$A$9:$AAH$9,"") &amp; ""</f>
        <v/>
      </c>
      <c r="Z23" s="11" t="str">
        <f>_xlfn.XLOOKUP($C23,AssetLocs!$A$1:$AAH$1,AssetLocs!$B$9:$AAI$9,"") &amp; ""</f>
        <v/>
      </c>
      <c r="AA23" s="7"/>
      <c r="AB23" s="11" t="str">
        <f>_xlfn.XLOOKUP($C23,AssetLocs!$A$1:$AAH$1,AssetLocs!$A$10:$AAH$10,"") &amp; ""</f>
        <v/>
      </c>
      <c r="AC23" s="11" t="str">
        <f>_xlfn.XLOOKUP($C23,AssetLocs!$A$1:$AAH$1,AssetLocs!$B$10:$AAI$10,"") &amp; ""</f>
        <v/>
      </c>
      <c r="AD23" s="7"/>
    </row>
    <row r="24" spans="1:30" x14ac:dyDescent="0.2">
      <c r="A24" t="str" cm="1">
        <f t="array" aca="1" ref="A24" ca="1">INDEX(INDIRECT(VLOOKUP($C$4, RoomLocs!$A$2:$B$35,2,)),ROW()-4,COLUMN()) &amp; ""</f>
        <v>Nurse</v>
      </c>
      <c r="B24" t="str" cm="1">
        <f t="array" aca="1" ref="B24" ca="1">INDEX(INDIRECT(VLOOKUP($C$4, RoomLocs!$A$2:$B$35,2,)),ROW()-4,COLUMN()) &amp; ""</f>
        <v>2</v>
      </c>
      <c r="C24" s="8"/>
      <c r="D24" t="str">
        <f>_xlfn.XLOOKUP($C24,AssetLocs!$A$1:$AAH$1,AssetLocs!$A$2:$AAH$2,"") &amp; ""</f>
        <v/>
      </c>
      <c r="E24" t="str">
        <f>_xlfn.XLOOKUP($C24,AssetLocs!$A$1:$AAH$1,AssetLocs!$B$2:$AAI$2,"") &amp; ""</f>
        <v/>
      </c>
      <c r="F24" s="7"/>
      <c r="G24" t="str">
        <f>_xlfn.XLOOKUP($C24,AssetLocs!$A$1:$AAH$1,AssetLocs!$A$3:$AAH$3,"") &amp; ""</f>
        <v/>
      </c>
      <c r="H24" t="str">
        <f>_xlfn.XLOOKUP($C24,AssetLocs!$A$1:$AAH$1,AssetLocs!$B$3:$AAI$3,"") &amp; ""</f>
        <v/>
      </c>
      <c r="I24" s="7"/>
      <c r="J24" t="str">
        <f>_xlfn.XLOOKUP($C24,AssetLocs!$A$1:$AAH$1,AssetLocs!$A$4:$AAH$4,"") &amp; ""</f>
        <v/>
      </c>
      <c r="K24" t="str">
        <f>_xlfn.XLOOKUP($C24,AssetLocs!$A$1:$AAH$1,AssetLocs!$B$4:$AAI$4,"") &amp; ""</f>
        <v/>
      </c>
      <c r="L24" s="7"/>
      <c r="M24" t="str">
        <f>_xlfn.XLOOKUP($C24,AssetLocs!$A$1:$AAH$1,AssetLocs!$A$5:$AAH$5,"") &amp; ""</f>
        <v/>
      </c>
      <c r="N24" t="str">
        <f>_xlfn.XLOOKUP($C24,AssetLocs!$A$1:$AAH$1,AssetLocs!$B$5:$AAI$5,"") &amp; ""</f>
        <v/>
      </c>
      <c r="O24" s="7"/>
      <c r="P24" t="str">
        <f>_xlfn.XLOOKUP($C24,AssetLocs!$A$1:$AAH$1,AssetLocs!$A$6:$AAH$6,"") &amp; ""</f>
        <v/>
      </c>
      <c r="Q24" t="str">
        <f>_xlfn.XLOOKUP($C24,AssetLocs!$A$1:$AAH$1,AssetLocs!$B$6:$AAI$6,"") &amp; ""</f>
        <v/>
      </c>
      <c r="R24" s="7"/>
      <c r="S24" t="str">
        <f>_xlfn.XLOOKUP($C24,AssetLocs!$A$1:$AAH$1,AssetLocs!$A$7:$AAH$7,"") &amp; ""</f>
        <v/>
      </c>
      <c r="T24" t="str">
        <f>_xlfn.XLOOKUP($C24,AssetLocs!$A$1:$AAH$1,AssetLocs!$B$7:$AAI$7,"") &amp; ""</f>
        <v/>
      </c>
      <c r="U24" s="7"/>
      <c r="V24" t="str">
        <f>_xlfn.XLOOKUP($C24,AssetLocs!$A$1:$AAH$1,AssetLocs!$A$8:$AAH$8,"") &amp; ""</f>
        <v/>
      </c>
      <c r="W24" t="str">
        <f>_xlfn.XLOOKUP($C24,AssetLocs!$A$1:$AAH$1,AssetLocs!$B$8:$AAI$8,"") &amp; ""</f>
        <v/>
      </c>
      <c r="X24" s="7"/>
      <c r="Y24" s="11" t="str">
        <f>_xlfn.XLOOKUP($C24,AssetLocs!$A$1:$AAH$1,AssetLocs!$A$9:$AAH$9,"") &amp; ""</f>
        <v/>
      </c>
      <c r="Z24" s="11" t="str">
        <f>_xlfn.XLOOKUP($C24,AssetLocs!$A$1:$AAH$1,AssetLocs!$B$9:$AAI$9,"") &amp; ""</f>
        <v/>
      </c>
      <c r="AA24" s="7"/>
      <c r="AB24" s="11" t="str">
        <f>_xlfn.XLOOKUP($C24,AssetLocs!$A$1:$AAH$1,AssetLocs!$A$10:$AAH$10,"") &amp; ""</f>
        <v/>
      </c>
      <c r="AC24" s="11" t="str">
        <f>_xlfn.XLOOKUP($C24,AssetLocs!$A$1:$AAH$1,AssetLocs!$B$10:$AAI$10,"") &amp; ""</f>
        <v/>
      </c>
      <c r="AD24" s="7"/>
    </row>
    <row r="25" spans="1:30" x14ac:dyDescent="0.2">
      <c r="A25" t="str" cm="1">
        <f t="array" aca="1" ref="A25" ca="1">INDEX(INDIRECT(VLOOKUP($C$4, RoomLocs!$A$2:$B$35,2,)),ROW()-4,COLUMN()) &amp; ""</f>
        <v>Bed</v>
      </c>
      <c r="B25" t="str" cm="1">
        <f t="array" aca="1" ref="B25" ca="1">INDEX(INDIRECT(VLOOKUP($C$4, RoomLocs!$A$2:$B$35,2,)),ROW()-4,COLUMN()) &amp; ""</f>
        <v>3</v>
      </c>
      <c r="C25" s="8"/>
      <c r="D25" t="str">
        <f>_xlfn.XLOOKUP($C25,AssetLocs!$A$1:$AAH$1,AssetLocs!$A$2:$AAH$2,"") &amp; ""</f>
        <v/>
      </c>
      <c r="E25" t="str">
        <f>_xlfn.XLOOKUP($C25,AssetLocs!$A$1:$AAH$1,AssetLocs!$B$2:$AAI$2,"") &amp; ""</f>
        <v/>
      </c>
      <c r="F25" s="7"/>
      <c r="G25" t="str">
        <f>_xlfn.XLOOKUP($C25,AssetLocs!$A$1:$AAH$1,AssetLocs!$A$3:$AAH$3,"") &amp; ""</f>
        <v/>
      </c>
      <c r="H25" t="str">
        <f>_xlfn.XLOOKUP($C25,AssetLocs!$A$1:$AAH$1,AssetLocs!$B$3:$AAI$3,"") &amp; ""</f>
        <v/>
      </c>
      <c r="I25" s="7"/>
      <c r="J25" t="str">
        <f>_xlfn.XLOOKUP($C25,AssetLocs!$A$1:$AAH$1,AssetLocs!$A$4:$AAH$4,"") &amp; ""</f>
        <v/>
      </c>
      <c r="K25" t="str">
        <f>_xlfn.XLOOKUP($C25,AssetLocs!$A$1:$AAH$1,AssetLocs!$B$4:$AAI$4,"") &amp; ""</f>
        <v/>
      </c>
      <c r="L25" s="7"/>
      <c r="M25" t="str">
        <f>_xlfn.XLOOKUP($C25,AssetLocs!$A$1:$AAH$1,AssetLocs!$A$5:$AAH$5,"") &amp; ""</f>
        <v/>
      </c>
      <c r="N25" t="str">
        <f>_xlfn.XLOOKUP($C25,AssetLocs!$A$1:$AAH$1,AssetLocs!$B$5:$AAI$5,"") &amp; ""</f>
        <v/>
      </c>
      <c r="O25" s="7"/>
      <c r="P25" t="str">
        <f>_xlfn.XLOOKUP($C25,AssetLocs!$A$1:$AAH$1,AssetLocs!$A$6:$AAH$6,"") &amp; ""</f>
        <v/>
      </c>
      <c r="Q25" t="str">
        <f>_xlfn.XLOOKUP($C25,AssetLocs!$A$1:$AAH$1,AssetLocs!$B$6:$AAI$6,"") &amp; ""</f>
        <v/>
      </c>
      <c r="R25" s="7"/>
      <c r="S25" t="str">
        <f>_xlfn.XLOOKUP($C25,AssetLocs!$A$1:$AAH$1,AssetLocs!$A$7:$AAH$7,"") &amp; ""</f>
        <v/>
      </c>
      <c r="T25" t="str">
        <f>_xlfn.XLOOKUP($C25,AssetLocs!$A$1:$AAH$1,AssetLocs!$B$7:$AAI$7,"") &amp; ""</f>
        <v/>
      </c>
      <c r="U25" s="7"/>
      <c r="V25" t="str">
        <f>_xlfn.XLOOKUP($C25,AssetLocs!$A$1:$AAH$1,AssetLocs!$A$8:$AAH$8,"") &amp; ""</f>
        <v/>
      </c>
      <c r="W25" t="str">
        <f>_xlfn.XLOOKUP($C25,AssetLocs!$A$1:$AAH$1,AssetLocs!$B$8:$AAI$8,"") &amp; ""</f>
        <v/>
      </c>
      <c r="X25" s="7"/>
      <c r="Y25" s="11" t="str">
        <f>_xlfn.XLOOKUP($C25,AssetLocs!$A$1:$AAH$1,AssetLocs!$A$9:$AAH$9,"") &amp; ""</f>
        <v/>
      </c>
      <c r="Z25" s="11" t="str">
        <f>_xlfn.XLOOKUP($C25,AssetLocs!$A$1:$AAH$1,AssetLocs!$B$9:$AAI$9,"") &amp; ""</f>
        <v/>
      </c>
      <c r="AA25" s="7"/>
      <c r="AB25" s="11" t="str">
        <f>_xlfn.XLOOKUP($C25,AssetLocs!$A$1:$AAH$1,AssetLocs!$A$10:$AAH$10,"") &amp; ""</f>
        <v/>
      </c>
      <c r="AC25" s="11" t="str">
        <f>_xlfn.XLOOKUP($C25,AssetLocs!$A$1:$AAH$1,AssetLocs!$B$10:$AAI$10,"") &amp; ""</f>
        <v/>
      </c>
      <c r="AD25" s="7"/>
    </row>
    <row r="26" spans="1:30" x14ac:dyDescent="0.2">
      <c r="A26" t="str" cm="1">
        <f t="array" aca="1" ref="A26" ca="1">INDEX(INDIRECT(VLOOKUP($C$4, RoomLocs!$A$2:$B$35,2,)),ROW()-4,COLUMN()) &amp; ""</f>
        <v>Wall</v>
      </c>
      <c r="B26" t="str" cm="1">
        <f t="array" aca="1" ref="B26" ca="1">INDEX(INDIRECT(VLOOKUP($C$4, RoomLocs!$A$2:$B$35,2,)),ROW()-4,COLUMN()) &amp; ""</f>
        <v>3</v>
      </c>
      <c r="C26" s="8"/>
      <c r="D26" t="str">
        <f>_xlfn.XLOOKUP($C26,AssetLocs!$A$1:$AAH$1,AssetLocs!$A$2:$AAH$2,"") &amp; ""</f>
        <v/>
      </c>
      <c r="E26" t="str">
        <f>_xlfn.XLOOKUP($C26,AssetLocs!$A$1:$AAH$1,AssetLocs!$B$2:$AAI$2,"") &amp; ""</f>
        <v/>
      </c>
      <c r="F26" s="8"/>
      <c r="G26" t="str">
        <f>_xlfn.XLOOKUP($C26,AssetLocs!$A$1:$AAH$1,AssetLocs!$A$3:$AAH$3,"") &amp; ""</f>
        <v/>
      </c>
      <c r="H26" t="str">
        <f>_xlfn.XLOOKUP($C26,AssetLocs!$A$1:$AAH$1,AssetLocs!$B$3:$AAI$3,"") &amp; ""</f>
        <v/>
      </c>
      <c r="I26" s="7"/>
      <c r="J26" t="str">
        <f>_xlfn.XLOOKUP($C26,AssetLocs!$A$1:$AAH$1,AssetLocs!$A$4:$AAH$4,"") &amp; ""</f>
        <v/>
      </c>
      <c r="K26" t="str">
        <f>_xlfn.XLOOKUP($C26,AssetLocs!$A$1:$AAH$1,AssetLocs!$B$4:$AAI$4,"") &amp; ""</f>
        <v/>
      </c>
      <c r="L26" s="7"/>
      <c r="M26" t="str">
        <f>_xlfn.XLOOKUP($C26,AssetLocs!$A$1:$AAH$1,AssetLocs!$A$5:$AAH$5,"") &amp; ""</f>
        <v/>
      </c>
      <c r="N26" t="str">
        <f>_xlfn.XLOOKUP($C26,AssetLocs!$A$1:$AAH$1,AssetLocs!$B$5:$AAI$5,"") &amp; ""</f>
        <v/>
      </c>
      <c r="O26" s="7"/>
      <c r="P26" t="str">
        <f>_xlfn.XLOOKUP($C26,AssetLocs!$A$1:$AAH$1,AssetLocs!$A$6:$AAH$6,"") &amp; ""</f>
        <v/>
      </c>
      <c r="Q26" t="str">
        <f>_xlfn.XLOOKUP($C26,AssetLocs!$A$1:$AAH$1,AssetLocs!$B$6:$AAI$6,"") &amp; ""</f>
        <v/>
      </c>
      <c r="R26" s="7"/>
      <c r="S26" t="str">
        <f>_xlfn.XLOOKUP($C26,AssetLocs!$A$1:$AAH$1,AssetLocs!$A$7:$AAH$7,"") &amp; ""</f>
        <v/>
      </c>
      <c r="T26" t="str">
        <f>_xlfn.XLOOKUP($C26,AssetLocs!$A$1:$AAH$1,AssetLocs!$B$7:$AAI$7,"") &amp; ""</f>
        <v/>
      </c>
      <c r="U26" s="7"/>
      <c r="V26" t="str">
        <f>_xlfn.XLOOKUP($C26,AssetLocs!$A$1:$AAH$1,AssetLocs!$A$8:$AAH$8,"") &amp; ""</f>
        <v/>
      </c>
      <c r="W26" t="str">
        <f>_xlfn.XLOOKUP($C26,AssetLocs!$A$1:$AAH$1,AssetLocs!$B$8:$AAI$8,"") &amp; ""</f>
        <v/>
      </c>
      <c r="X26" s="7"/>
      <c r="Y26" s="11" t="str">
        <f>_xlfn.XLOOKUP($C26,AssetLocs!$A$1:$AAH$1,AssetLocs!$A$9:$AAH$9,"") &amp; ""</f>
        <v/>
      </c>
      <c r="Z26" s="11" t="str">
        <f>_xlfn.XLOOKUP($C26,AssetLocs!$A$1:$AAH$1,AssetLocs!$B$9:$AAI$9,"") &amp; ""</f>
        <v/>
      </c>
      <c r="AA26" s="7"/>
      <c r="AB26" s="11" t="str">
        <f>_xlfn.XLOOKUP($C26,AssetLocs!$A$1:$AAH$1,AssetLocs!$A$10:$AAH$10,"") &amp; ""</f>
        <v/>
      </c>
      <c r="AC26" s="11" t="str">
        <f>_xlfn.XLOOKUP($C26,AssetLocs!$A$1:$AAH$1,AssetLocs!$B$10:$AAI$10,"") &amp; ""</f>
        <v/>
      </c>
      <c r="AD26" s="7"/>
    </row>
    <row r="27" spans="1:30" x14ac:dyDescent="0.2">
      <c r="A27" t="str" cm="1">
        <f t="array" aca="1" ref="A27" ca="1">INDEX(INDIRECT(VLOOKUP($C$4, RoomLocs!$A$2:$B$35,2,)),ROW()-4,COLUMN()) &amp; ""</f>
        <v>BedsideHead</v>
      </c>
      <c r="B27" t="str" cm="1">
        <f t="array" aca="1" ref="B27" ca="1">INDEX(INDIRECT(VLOOKUP($C$4, RoomLocs!$A$2:$B$35,2,)),ROW()-4,COLUMN()) &amp; ""</f>
        <v>3</v>
      </c>
      <c r="C27" s="8"/>
      <c r="D27" t="str">
        <f>_xlfn.XLOOKUP($C27,AssetLocs!$A$1:$AAH$1,AssetLocs!$A$2:$AAH$2,"") &amp; ""</f>
        <v/>
      </c>
      <c r="E27" t="str">
        <f>_xlfn.XLOOKUP($C27,AssetLocs!$A$1:$AAH$1,AssetLocs!$B$2:$AAI$2,"") &amp; ""</f>
        <v/>
      </c>
      <c r="F27" s="8"/>
      <c r="G27" t="str">
        <f>_xlfn.XLOOKUP($C27,AssetLocs!$A$1:$AAH$1,AssetLocs!$A$3:$AAH$3,"") &amp; ""</f>
        <v/>
      </c>
      <c r="H27" t="str">
        <f>_xlfn.XLOOKUP($C27,AssetLocs!$A$1:$AAH$1,AssetLocs!$B$3:$AAI$3,"") &amp; ""</f>
        <v/>
      </c>
      <c r="I27" s="7"/>
      <c r="J27" t="str">
        <f>_xlfn.XLOOKUP($C27,AssetLocs!$A$1:$AAH$1,AssetLocs!$A$4:$AAH$4,"") &amp; ""</f>
        <v/>
      </c>
      <c r="K27" t="str">
        <f>_xlfn.XLOOKUP($C27,AssetLocs!$A$1:$AAH$1,AssetLocs!$B$4:$AAI$4,"") &amp; ""</f>
        <v/>
      </c>
      <c r="L27" s="7"/>
      <c r="M27" t="str">
        <f>_xlfn.XLOOKUP($C27,AssetLocs!$A$1:$AAH$1,AssetLocs!$A$5:$AAH$5,"") &amp; ""</f>
        <v/>
      </c>
      <c r="N27" t="str">
        <f>_xlfn.XLOOKUP($C27,AssetLocs!$A$1:$AAH$1,AssetLocs!$B$5:$AAI$5,"") &amp; ""</f>
        <v/>
      </c>
      <c r="O27" s="7"/>
      <c r="P27" t="str">
        <f>_xlfn.XLOOKUP($C27,AssetLocs!$A$1:$AAH$1,AssetLocs!$A$6:$AAH$6,"") &amp; ""</f>
        <v/>
      </c>
      <c r="Q27" t="str">
        <f>_xlfn.XLOOKUP($C27,AssetLocs!$A$1:$AAH$1,AssetLocs!$B$6:$AAI$6,"") &amp; ""</f>
        <v/>
      </c>
      <c r="R27" s="7"/>
      <c r="S27" t="str">
        <f>_xlfn.XLOOKUP($C27,AssetLocs!$A$1:$AAH$1,AssetLocs!$A$7:$AAH$7,"") &amp; ""</f>
        <v/>
      </c>
      <c r="T27" t="str">
        <f>_xlfn.XLOOKUP($C27,AssetLocs!$A$1:$AAH$1,AssetLocs!$B$7:$AAI$7,"") &amp; ""</f>
        <v/>
      </c>
      <c r="U27" s="7"/>
      <c r="V27" t="str">
        <f>_xlfn.XLOOKUP($C27,AssetLocs!$A$1:$AAH$1,AssetLocs!$A$8:$AAH$8,"") &amp; ""</f>
        <v/>
      </c>
      <c r="W27" t="str">
        <f>_xlfn.XLOOKUP($C27,AssetLocs!$A$1:$AAH$1,AssetLocs!$B$8:$AAI$8,"") &amp; ""</f>
        <v/>
      </c>
      <c r="X27" s="7"/>
      <c r="Y27" s="11" t="str">
        <f>_xlfn.XLOOKUP($C27,AssetLocs!$A$1:$AAH$1,AssetLocs!$A$9:$AAH$9,"") &amp; ""</f>
        <v/>
      </c>
      <c r="Z27" s="11" t="str">
        <f>_xlfn.XLOOKUP($C27,AssetLocs!$A$1:$AAH$1,AssetLocs!$B$9:$AAI$9,"") &amp; ""</f>
        <v/>
      </c>
      <c r="AA27" s="7"/>
      <c r="AB27" s="11" t="str">
        <f>_xlfn.XLOOKUP($C27,AssetLocs!$A$1:$AAH$1,AssetLocs!$A$10:$AAH$10,"") &amp; ""</f>
        <v/>
      </c>
      <c r="AC27" s="11" t="str">
        <f>_xlfn.XLOOKUP($C27,AssetLocs!$A$1:$AAH$1,AssetLocs!$B$10:$AAI$10,"") &amp; ""</f>
        <v/>
      </c>
      <c r="AD27" s="7"/>
    </row>
    <row r="28" spans="1:30" x14ac:dyDescent="0.2">
      <c r="A28" t="str" cm="1">
        <f t="array" aca="1" ref="A28" ca="1">INDEX(INDIRECT(VLOOKUP($C$4, RoomLocs!$A$2:$B$35,2,)),ROW()-4,COLUMN()) &amp; ""</f>
        <v>BedsideHeadLeft</v>
      </c>
      <c r="B28" t="str" cm="1">
        <f t="array" aca="1" ref="B28" ca="1">INDEX(INDIRECT(VLOOKUP($C$4, RoomLocs!$A$2:$B$35,2,)),ROW()-4,COLUMN()) &amp; ""</f>
        <v>3</v>
      </c>
      <c r="C28" s="8"/>
      <c r="D28" t="str">
        <f>_xlfn.XLOOKUP($C28,AssetLocs!$A$1:$AAH$1,AssetLocs!$A$2:$AAH$2,"") &amp; ""</f>
        <v/>
      </c>
      <c r="E28" t="str">
        <f>_xlfn.XLOOKUP($C28,AssetLocs!$A$1:$AAH$1,AssetLocs!$B$2:$AAI$2,"") &amp; ""</f>
        <v/>
      </c>
      <c r="F28" s="8"/>
      <c r="G28" t="str">
        <f>_xlfn.XLOOKUP($C28,AssetLocs!$A$1:$AAH$1,AssetLocs!$A$3:$AAH$3,"") &amp; ""</f>
        <v/>
      </c>
      <c r="H28" t="str">
        <f>_xlfn.XLOOKUP($C28,AssetLocs!$A$1:$AAH$1,AssetLocs!$B$3:$AAI$3,"") &amp; ""</f>
        <v/>
      </c>
      <c r="I28" s="7"/>
      <c r="J28" t="str">
        <f>_xlfn.XLOOKUP($C28,AssetLocs!$A$1:$AAH$1,AssetLocs!$A$4:$AAH$4,"") &amp; ""</f>
        <v/>
      </c>
      <c r="K28" t="str">
        <f>_xlfn.XLOOKUP($C28,AssetLocs!$A$1:$AAH$1,AssetLocs!$B$4:$AAI$4,"") &amp; ""</f>
        <v/>
      </c>
      <c r="L28" s="7"/>
      <c r="M28" t="str">
        <f>_xlfn.XLOOKUP($C28,AssetLocs!$A$1:$AAH$1,AssetLocs!$A$5:$AAH$5,"") &amp; ""</f>
        <v/>
      </c>
      <c r="N28" t="str">
        <f>_xlfn.XLOOKUP($C28,AssetLocs!$A$1:$AAH$1,AssetLocs!$B$5:$AAI$5,"") &amp; ""</f>
        <v/>
      </c>
      <c r="O28" s="7"/>
      <c r="P28" t="str">
        <f>_xlfn.XLOOKUP($C28,AssetLocs!$A$1:$AAH$1,AssetLocs!$A$6:$AAH$6,"") &amp; ""</f>
        <v/>
      </c>
      <c r="Q28" t="str">
        <f>_xlfn.XLOOKUP($C28,AssetLocs!$A$1:$AAH$1,AssetLocs!$B$6:$AAI$6,"") &amp; ""</f>
        <v/>
      </c>
      <c r="R28" s="7"/>
      <c r="S28" t="str">
        <f>_xlfn.XLOOKUP($C28,AssetLocs!$A$1:$AAH$1,AssetLocs!$A$7:$AAH$7,"") &amp; ""</f>
        <v/>
      </c>
      <c r="T28" t="str">
        <f>_xlfn.XLOOKUP($C28,AssetLocs!$A$1:$AAH$1,AssetLocs!$B$7:$AAI$7,"") &amp; ""</f>
        <v/>
      </c>
      <c r="U28" s="7"/>
      <c r="V28" t="str">
        <f>_xlfn.XLOOKUP($C28,AssetLocs!$A$1:$AAH$1,AssetLocs!$A$8:$AAH$8,"") &amp; ""</f>
        <v/>
      </c>
      <c r="W28" t="str">
        <f>_xlfn.XLOOKUP($C28,AssetLocs!$A$1:$AAH$1,AssetLocs!$B$8:$AAI$8,"") &amp; ""</f>
        <v/>
      </c>
      <c r="X28" s="7"/>
      <c r="Y28" s="11" t="str">
        <f>_xlfn.XLOOKUP($C28,AssetLocs!$A$1:$AAH$1,AssetLocs!$A$9:$AAH$9,"") &amp; ""</f>
        <v/>
      </c>
      <c r="Z28" s="11" t="str">
        <f>_xlfn.XLOOKUP($C28,AssetLocs!$A$1:$AAH$1,AssetLocs!$B$9:$AAI$9,"") &amp; ""</f>
        <v/>
      </c>
      <c r="AA28" s="7"/>
      <c r="AB28" s="11" t="str">
        <f>_xlfn.XLOOKUP($C28,AssetLocs!$A$1:$AAH$1,AssetLocs!$A$10:$AAH$10,"") &amp; ""</f>
        <v/>
      </c>
      <c r="AC28" s="11" t="str">
        <f>_xlfn.XLOOKUP($C28,AssetLocs!$A$1:$AAH$1,AssetLocs!$B$10:$AAI$10,"") &amp; ""</f>
        <v/>
      </c>
      <c r="AD28" s="7"/>
    </row>
    <row r="29" spans="1:30" x14ac:dyDescent="0.2">
      <c r="A29" t="str" cm="1">
        <f t="array" aca="1" ref="A29" ca="1">INDEX(INDIRECT(VLOOKUP($C$4, RoomLocs!$A$2:$B$35,2,)),ROW()-4,COLUMN()) &amp; ""</f>
        <v>BedsideMid</v>
      </c>
      <c r="B29" t="str" cm="1">
        <f t="array" aca="1" ref="B29" ca="1">INDEX(INDIRECT(VLOOKUP($C$4, RoomLocs!$A$2:$B$35,2,)),ROW()-4,COLUMN()) &amp; ""</f>
        <v>3</v>
      </c>
      <c r="C29" s="8"/>
      <c r="D29" t="str">
        <f>_xlfn.XLOOKUP($C29,AssetLocs!$A$1:$AAH$1,AssetLocs!$A$2:$AAH$2,"") &amp; ""</f>
        <v/>
      </c>
      <c r="E29" t="str">
        <f>_xlfn.XLOOKUP($C29,AssetLocs!$A$1:$AAH$1,AssetLocs!$B$2:$AAI$2,"") &amp; ""</f>
        <v/>
      </c>
      <c r="F29" s="8"/>
      <c r="G29" t="str">
        <f>_xlfn.XLOOKUP($C29,AssetLocs!$A$1:$AAH$1,AssetLocs!$A$3:$AAH$3,"") &amp; ""</f>
        <v/>
      </c>
      <c r="H29" t="str">
        <f>_xlfn.XLOOKUP($C29,AssetLocs!$A$1:$AAH$1,AssetLocs!$B$3:$AAI$3,"") &amp; ""</f>
        <v/>
      </c>
      <c r="I29" s="7"/>
      <c r="J29" t="str">
        <f>_xlfn.XLOOKUP($C29,AssetLocs!$A$1:$AAH$1,AssetLocs!$A$4:$AAH$4,"") &amp; ""</f>
        <v/>
      </c>
      <c r="K29" t="str">
        <f>_xlfn.XLOOKUP($C29,AssetLocs!$A$1:$AAH$1,AssetLocs!$B$4:$AAI$4,"") &amp; ""</f>
        <v/>
      </c>
      <c r="L29" s="7"/>
      <c r="M29" t="str">
        <f>_xlfn.XLOOKUP($C29,AssetLocs!$A$1:$AAH$1,AssetLocs!$A$5:$AAH$5,"") &amp; ""</f>
        <v/>
      </c>
      <c r="N29" t="str">
        <f>_xlfn.XLOOKUP($C29,AssetLocs!$A$1:$AAH$1,AssetLocs!$B$5:$AAI$5,"") &amp; ""</f>
        <v/>
      </c>
      <c r="O29" s="7"/>
      <c r="P29" t="str">
        <f>_xlfn.XLOOKUP($C29,AssetLocs!$A$1:$AAH$1,AssetLocs!$A$6:$AAH$6,"") &amp; ""</f>
        <v/>
      </c>
      <c r="Q29" t="str">
        <f>_xlfn.XLOOKUP($C29,AssetLocs!$A$1:$AAH$1,AssetLocs!$B$6:$AAI$6,"") &amp; ""</f>
        <v/>
      </c>
      <c r="R29" s="7"/>
      <c r="S29" t="str">
        <f>_xlfn.XLOOKUP($C29,AssetLocs!$A$1:$AAH$1,AssetLocs!$A$7:$AAH$7,"") &amp; ""</f>
        <v/>
      </c>
      <c r="T29" t="str">
        <f>_xlfn.XLOOKUP($C29,AssetLocs!$A$1:$AAH$1,AssetLocs!$B$7:$AAI$7,"") &amp; ""</f>
        <v/>
      </c>
      <c r="U29" s="7"/>
      <c r="V29" t="str">
        <f>_xlfn.XLOOKUP($C29,AssetLocs!$A$1:$AAH$1,AssetLocs!$A$8:$AAH$8,"") &amp; ""</f>
        <v/>
      </c>
      <c r="W29" t="str">
        <f>_xlfn.XLOOKUP($C29,AssetLocs!$A$1:$AAH$1,AssetLocs!$B$8:$AAI$8,"") &amp; ""</f>
        <v/>
      </c>
      <c r="X29" s="7"/>
      <c r="Y29" s="11" t="str">
        <f>_xlfn.XLOOKUP($C29,AssetLocs!$A$1:$AAH$1,AssetLocs!$A$9:$AAH$9,"") &amp; ""</f>
        <v/>
      </c>
      <c r="Z29" s="11" t="str">
        <f>_xlfn.XLOOKUP($C29,AssetLocs!$A$1:$AAH$1,AssetLocs!$B$9:$AAI$9,"") &amp; ""</f>
        <v/>
      </c>
      <c r="AA29" s="7"/>
      <c r="AB29" s="11" t="str">
        <f>_xlfn.XLOOKUP($C29,AssetLocs!$A$1:$AAH$1,AssetLocs!$A$10:$AAH$10,"") &amp; ""</f>
        <v/>
      </c>
      <c r="AC29" s="11" t="str">
        <f>_xlfn.XLOOKUP($C29,AssetLocs!$A$1:$AAH$1,AssetLocs!$B$10:$AAI$10,"") &amp; ""</f>
        <v/>
      </c>
      <c r="AD29" s="7"/>
    </row>
    <row r="30" spans="1:30" x14ac:dyDescent="0.2">
      <c r="A30" t="str" cm="1">
        <f t="array" aca="1" ref="A30" ca="1">INDEX(INDIRECT(VLOOKUP($C$4, RoomLocs!$A$2:$B$35,2,)),ROW()-4,COLUMN()) &amp; ""</f>
        <v>BedsideFoot</v>
      </c>
      <c r="B30" t="str" cm="1">
        <f t="array" aca="1" ref="B30" ca="1">INDEX(INDIRECT(VLOOKUP($C$4, RoomLocs!$A$2:$B$35,2,)),ROW()-4,COLUMN()) &amp; ""</f>
        <v>3</v>
      </c>
      <c r="C30" s="8"/>
      <c r="D30" t="str">
        <f>_xlfn.XLOOKUP($C30,AssetLocs!$A$1:$AAH$1,AssetLocs!$A$2:$AAH$2,"") &amp; ""</f>
        <v/>
      </c>
      <c r="E30" t="str">
        <f>_xlfn.XLOOKUP($C30,AssetLocs!$A$1:$AAH$1,AssetLocs!$B$2:$AAI$2,"") &amp; ""</f>
        <v/>
      </c>
      <c r="F30" s="8"/>
      <c r="G30" t="str">
        <f>_xlfn.XLOOKUP($C30,AssetLocs!$A$1:$AAH$1,AssetLocs!$A$3:$AAH$3,"") &amp; ""</f>
        <v/>
      </c>
      <c r="H30" t="str">
        <f>_xlfn.XLOOKUP($C30,AssetLocs!$A$1:$AAH$1,AssetLocs!$B$3:$AAI$3,"") &amp; ""</f>
        <v/>
      </c>
      <c r="I30" s="7"/>
      <c r="J30" t="str">
        <f>_xlfn.XLOOKUP($C30,AssetLocs!$A$1:$AAH$1,AssetLocs!$A$4:$AAH$4,"") &amp; ""</f>
        <v/>
      </c>
      <c r="K30" t="str">
        <f>_xlfn.XLOOKUP($C30,AssetLocs!$A$1:$AAH$1,AssetLocs!$B$4:$AAI$4,"") &amp; ""</f>
        <v/>
      </c>
      <c r="L30" s="7"/>
      <c r="M30" t="str">
        <f>_xlfn.XLOOKUP($C30,AssetLocs!$A$1:$AAH$1,AssetLocs!$A$5:$AAH$5,"") &amp; ""</f>
        <v/>
      </c>
      <c r="N30" t="str">
        <f>_xlfn.XLOOKUP($C30,AssetLocs!$A$1:$AAH$1,AssetLocs!$B$5:$AAI$5,"") &amp; ""</f>
        <v/>
      </c>
      <c r="O30" s="7"/>
      <c r="P30" t="str">
        <f>_xlfn.XLOOKUP($C30,AssetLocs!$A$1:$AAH$1,AssetLocs!$A$6:$AAH$6,"") &amp; ""</f>
        <v/>
      </c>
      <c r="Q30" t="str">
        <f>_xlfn.XLOOKUP($C30,AssetLocs!$A$1:$AAH$1,AssetLocs!$B$6:$AAI$6,"") &amp; ""</f>
        <v/>
      </c>
      <c r="R30" s="7"/>
      <c r="S30" t="str">
        <f>_xlfn.XLOOKUP($C30,AssetLocs!$A$1:$AAH$1,AssetLocs!$A$7:$AAH$7,"") &amp; ""</f>
        <v/>
      </c>
      <c r="T30" t="str">
        <f>_xlfn.XLOOKUP($C30,AssetLocs!$A$1:$AAH$1,AssetLocs!$B$7:$AAI$7,"") &amp; ""</f>
        <v/>
      </c>
      <c r="U30" s="7"/>
      <c r="V30" t="str">
        <f>_xlfn.XLOOKUP($C30,AssetLocs!$A$1:$AAH$1,AssetLocs!$A$8:$AAH$8,"") &amp; ""</f>
        <v/>
      </c>
      <c r="W30" t="str">
        <f>_xlfn.XLOOKUP($C30,AssetLocs!$A$1:$AAH$1,AssetLocs!$B$8:$AAI$8,"") &amp; ""</f>
        <v/>
      </c>
      <c r="X30" s="7"/>
      <c r="Y30" s="11" t="str">
        <f>_xlfn.XLOOKUP($C30,AssetLocs!$A$1:$AAH$1,AssetLocs!$A$9:$AAH$9,"") &amp; ""</f>
        <v/>
      </c>
      <c r="Z30" s="11" t="str">
        <f>_xlfn.XLOOKUP($C30,AssetLocs!$A$1:$AAH$1,AssetLocs!$B$9:$AAI$9,"") &amp; ""</f>
        <v/>
      </c>
      <c r="AA30" s="7"/>
      <c r="AB30" s="11" t="str">
        <f>_xlfn.XLOOKUP($C30,AssetLocs!$A$1:$AAH$1,AssetLocs!$A$10:$AAH$10,"") &amp; ""</f>
        <v/>
      </c>
      <c r="AC30" s="11" t="str">
        <f>_xlfn.XLOOKUP($C30,AssetLocs!$A$1:$AAH$1,AssetLocs!$B$10:$AAI$10,"") &amp; ""</f>
        <v/>
      </c>
      <c r="AD30" s="7"/>
    </row>
    <row r="31" spans="1:30" x14ac:dyDescent="0.2">
      <c r="A31" t="str" cm="1">
        <f t="array" aca="1" ref="A31" ca="1">INDEX(INDIRECT(VLOOKUP($C$4, RoomLocs!$A$2:$B$35,2,)),ROW()-4,COLUMN()) &amp; ""</f>
        <v>Desk</v>
      </c>
      <c r="B31" t="str" cm="1">
        <f t="array" aca="1" ref="B31" ca="1">INDEX(INDIRECT(VLOOKUP($C$4, RoomLocs!$A$2:$B$35,2,)),ROW()-4,COLUMN()) &amp; ""</f>
        <v>3</v>
      </c>
      <c r="C31" s="8"/>
      <c r="D31" t="str">
        <f>_xlfn.XLOOKUP($C31,AssetLocs!$A$1:$AAH$1,AssetLocs!$A$2:$AAH$2,"") &amp; ""</f>
        <v/>
      </c>
      <c r="E31" t="str">
        <f>_xlfn.XLOOKUP($C31,AssetLocs!$A$1:$AAH$1,AssetLocs!$B$2:$AAI$2,"") &amp; ""</f>
        <v/>
      </c>
      <c r="F31" s="7"/>
      <c r="G31" t="str">
        <f>_xlfn.XLOOKUP($C31,AssetLocs!$A$1:$AAH$1,AssetLocs!$A$3:$AAH$3,"") &amp; ""</f>
        <v/>
      </c>
      <c r="H31" t="str">
        <f>_xlfn.XLOOKUP($C31,AssetLocs!$A$1:$AAH$1,AssetLocs!$B$3:$AAI$3,"") &amp; ""</f>
        <v/>
      </c>
      <c r="I31" s="7"/>
      <c r="J31" t="str">
        <f>_xlfn.XLOOKUP($C31,AssetLocs!$A$1:$AAH$1,AssetLocs!$A$4:$AAH$4,"") &amp; ""</f>
        <v/>
      </c>
      <c r="K31" t="str">
        <f>_xlfn.XLOOKUP($C31,AssetLocs!$A$1:$AAH$1,AssetLocs!$B$4:$AAI$4,"") &amp; ""</f>
        <v/>
      </c>
      <c r="L31" s="7"/>
      <c r="M31" t="str">
        <f>_xlfn.XLOOKUP($C31,AssetLocs!$A$1:$AAH$1,AssetLocs!$A$5:$AAH$5,"") &amp; ""</f>
        <v/>
      </c>
      <c r="N31" t="str">
        <f>_xlfn.XLOOKUP($C31,AssetLocs!$A$1:$AAH$1,AssetLocs!$B$5:$AAI$5,"") &amp; ""</f>
        <v/>
      </c>
      <c r="O31" s="7"/>
      <c r="P31" t="str">
        <f>_xlfn.XLOOKUP($C31,AssetLocs!$A$1:$AAH$1,AssetLocs!$A$6:$AAH$6,"") &amp; ""</f>
        <v/>
      </c>
      <c r="Q31" t="str">
        <f>_xlfn.XLOOKUP($C31,AssetLocs!$A$1:$AAH$1,AssetLocs!$B$6:$AAI$6,"") &amp; ""</f>
        <v/>
      </c>
      <c r="R31" s="7"/>
      <c r="S31" t="str">
        <f>_xlfn.XLOOKUP($C31,AssetLocs!$A$1:$AAH$1,AssetLocs!$A$7:$AAH$7,"") &amp; ""</f>
        <v/>
      </c>
      <c r="T31" t="str">
        <f>_xlfn.XLOOKUP($C31,AssetLocs!$A$1:$AAH$1,AssetLocs!$B$7:$AAI$7,"") &amp; ""</f>
        <v/>
      </c>
      <c r="U31" s="7"/>
      <c r="V31" t="str">
        <f>_xlfn.XLOOKUP($C31,AssetLocs!$A$1:$AAH$1,AssetLocs!$A$8:$AAH$8,"") &amp; ""</f>
        <v/>
      </c>
      <c r="W31" t="str">
        <f>_xlfn.XLOOKUP($C31,AssetLocs!$A$1:$AAH$1,AssetLocs!$B$8:$AAI$8,"") &amp; ""</f>
        <v/>
      </c>
      <c r="X31" s="7"/>
      <c r="Y31" s="11" t="str">
        <f>_xlfn.XLOOKUP($C31,AssetLocs!$A$1:$AAH$1,AssetLocs!$A$9:$AAH$9,"") &amp; ""</f>
        <v/>
      </c>
      <c r="Z31" s="11" t="str">
        <f>_xlfn.XLOOKUP($C31,AssetLocs!$A$1:$AAH$1,AssetLocs!$B$9:$AAI$9,"") &amp; ""</f>
        <v/>
      </c>
      <c r="AA31" s="7"/>
      <c r="AB31" s="11" t="str">
        <f>_xlfn.XLOOKUP($C31,AssetLocs!$A$1:$AAH$1,AssetLocs!$A$10:$AAH$10,"") &amp; ""</f>
        <v/>
      </c>
      <c r="AC31" s="11" t="str">
        <f>_xlfn.XLOOKUP($C31,AssetLocs!$A$1:$AAH$1,AssetLocs!$B$10:$AAI$10,"") &amp; ""</f>
        <v/>
      </c>
      <c r="AD31" s="7"/>
    </row>
    <row r="32" spans="1:30" x14ac:dyDescent="0.2">
      <c r="A32" t="str" cm="1">
        <f t="array" aca="1" ref="A32" ca="1">INDEX(INDIRECT(VLOOKUP($C$4, RoomLocs!$A$2:$B$35,2,)),ROW()-4,COLUMN()) &amp; ""</f>
        <v>Cart</v>
      </c>
      <c r="B32" t="str" cm="1">
        <f t="array" aca="1" ref="B32" ca="1">INDEX(INDIRECT(VLOOKUP($C$4, RoomLocs!$A$2:$B$35,2,)),ROW()-4,COLUMN()) &amp; ""</f>
        <v>3</v>
      </c>
      <c r="C32" s="8"/>
      <c r="D32" t="str">
        <f>_xlfn.XLOOKUP($C32,AssetLocs!$A$1:$AAH$1,AssetLocs!$A$2:$AAH$2,"") &amp; ""</f>
        <v/>
      </c>
      <c r="E32" t="str">
        <f>_xlfn.XLOOKUP($C32,AssetLocs!$A$1:$AAH$1,AssetLocs!$B$2:$AAI$2,"") &amp; ""</f>
        <v/>
      </c>
      <c r="F32" s="7"/>
      <c r="G32" t="str">
        <f>_xlfn.XLOOKUP($C32,AssetLocs!$A$1:$AAH$1,AssetLocs!$A$3:$AAH$3,"") &amp; ""</f>
        <v/>
      </c>
      <c r="H32" t="str">
        <f>_xlfn.XLOOKUP($C32,AssetLocs!$A$1:$AAH$1,AssetLocs!$B$3:$AAI$3,"") &amp; ""</f>
        <v/>
      </c>
      <c r="I32" s="7"/>
      <c r="J32" t="str">
        <f>_xlfn.XLOOKUP($C32,AssetLocs!$A$1:$AAH$1,AssetLocs!$A$4:$AAH$4,"") &amp; ""</f>
        <v/>
      </c>
      <c r="K32" t="str">
        <f>_xlfn.XLOOKUP($C32,AssetLocs!$A$1:$AAH$1,AssetLocs!$B$4:$AAI$4,"") &amp; ""</f>
        <v/>
      </c>
      <c r="L32" s="7"/>
      <c r="M32" t="str">
        <f>_xlfn.XLOOKUP($C32,AssetLocs!$A$1:$AAH$1,AssetLocs!$A$5:$AAH$5,"") &amp; ""</f>
        <v/>
      </c>
      <c r="N32" t="str">
        <f>_xlfn.XLOOKUP($C32,AssetLocs!$A$1:$AAH$1,AssetLocs!$B$5:$AAI$5,"") &amp; ""</f>
        <v/>
      </c>
      <c r="O32" s="7"/>
      <c r="P32" t="str">
        <f>_xlfn.XLOOKUP($C32,AssetLocs!$A$1:$AAH$1,AssetLocs!$A$6:$AAH$6,"") &amp; ""</f>
        <v/>
      </c>
      <c r="Q32" t="str">
        <f>_xlfn.XLOOKUP($C32,AssetLocs!$A$1:$AAH$1,AssetLocs!$B$6:$AAI$6,"") &amp; ""</f>
        <v/>
      </c>
      <c r="R32" s="7"/>
      <c r="S32" t="str">
        <f>_xlfn.XLOOKUP($C32,AssetLocs!$A$1:$AAH$1,AssetLocs!$A$7:$AAH$7,"") &amp; ""</f>
        <v/>
      </c>
      <c r="T32" t="str">
        <f>_xlfn.XLOOKUP($C32,AssetLocs!$A$1:$AAH$1,AssetLocs!$B$7:$AAI$7,"") &amp; ""</f>
        <v/>
      </c>
      <c r="U32" s="7"/>
      <c r="V32" t="str">
        <f>_xlfn.XLOOKUP($C32,AssetLocs!$A$1:$AAH$1,AssetLocs!$A$8:$AAH$8,"") &amp; ""</f>
        <v/>
      </c>
      <c r="W32" t="str">
        <f>_xlfn.XLOOKUP($C32,AssetLocs!$A$1:$AAH$1,AssetLocs!$B$8:$AAI$8,"") &amp; ""</f>
        <v/>
      </c>
      <c r="X32" s="7"/>
      <c r="Y32" s="11" t="str">
        <f>_xlfn.XLOOKUP($C32,AssetLocs!$A$1:$AAH$1,AssetLocs!$A$9:$AAH$9,"") &amp; ""</f>
        <v/>
      </c>
      <c r="Z32" s="11" t="str">
        <f>_xlfn.XLOOKUP($C32,AssetLocs!$A$1:$AAH$1,AssetLocs!$B$9:$AAI$9,"") &amp; ""</f>
        <v/>
      </c>
      <c r="AA32" s="7"/>
      <c r="AB32" s="11" t="str">
        <f>_xlfn.XLOOKUP($C32,AssetLocs!$A$1:$AAH$1,AssetLocs!$A$10:$AAH$10,"") &amp; ""</f>
        <v/>
      </c>
      <c r="AC32" s="11" t="str">
        <f>_xlfn.XLOOKUP($C32,AssetLocs!$A$1:$AAH$1,AssetLocs!$B$10:$AAI$10,"") &amp; ""</f>
        <v/>
      </c>
      <c r="AD32" s="7"/>
    </row>
    <row r="33" spans="1:30" x14ac:dyDescent="0.2">
      <c r="A33" t="str" cm="1">
        <f t="array" aca="1" ref="A33" ca="1">INDEX(INDIRECT(VLOOKUP($C$4, RoomLocs!$A$2:$B$35,2,)),ROW()-4,COLUMN()) &amp; ""</f>
        <v>Bin</v>
      </c>
      <c r="B33" t="str" cm="1">
        <f t="array" aca="1" ref="B33" ca="1">INDEX(INDIRECT(VLOOKUP($C$4, RoomLocs!$A$2:$B$35,2,)),ROW()-4,COLUMN()) &amp; ""</f>
        <v>3</v>
      </c>
      <c r="C33" s="8"/>
      <c r="D33" t="str">
        <f>_xlfn.XLOOKUP($C33,AssetLocs!$A$1:$AAH$1,AssetLocs!$A$2:$AAH$2,"") &amp; ""</f>
        <v/>
      </c>
      <c r="E33" t="str">
        <f>_xlfn.XLOOKUP($C33,AssetLocs!$A$1:$AAH$1,AssetLocs!$B$2:$AAI$2,"") &amp; ""</f>
        <v/>
      </c>
      <c r="F33" s="7"/>
      <c r="G33" t="str">
        <f>_xlfn.XLOOKUP($C33,AssetLocs!$A$1:$AAH$1,AssetLocs!$A$3:$AAH$3,"") &amp; ""</f>
        <v/>
      </c>
      <c r="H33" t="str">
        <f>_xlfn.XLOOKUP($C33,AssetLocs!$A$1:$AAH$1,AssetLocs!$B$3:$AAI$3,"") &amp; ""</f>
        <v/>
      </c>
      <c r="I33" s="7"/>
      <c r="J33" t="str">
        <f>_xlfn.XLOOKUP($C33,AssetLocs!$A$1:$AAH$1,AssetLocs!$A$4:$AAH$4,"") &amp; ""</f>
        <v/>
      </c>
      <c r="K33" t="str">
        <f>_xlfn.XLOOKUP($C33,AssetLocs!$A$1:$AAH$1,AssetLocs!$B$4:$AAI$4,"") &amp; ""</f>
        <v/>
      </c>
      <c r="L33" s="7"/>
      <c r="M33" t="str">
        <f>_xlfn.XLOOKUP($C33,AssetLocs!$A$1:$AAH$1,AssetLocs!$A$5:$AAH$5,"") &amp; ""</f>
        <v/>
      </c>
      <c r="N33" t="str">
        <f>_xlfn.XLOOKUP($C33,AssetLocs!$A$1:$AAH$1,AssetLocs!$B$5:$AAI$5,"") &amp; ""</f>
        <v/>
      </c>
      <c r="O33" s="7"/>
      <c r="P33" t="str">
        <f>_xlfn.XLOOKUP($C33,AssetLocs!$A$1:$AAH$1,AssetLocs!$A$6:$AAH$6,"") &amp; ""</f>
        <v/>
      </c>
      <c r="Q33" t="str">
        <f>_xlfn.XLOOKUP($C33,AssetLocs!$A$1:$AAH$1,AssetLocs!$B$6:$AAI$6,"") &amp; ""</f>
        <v/>
      </c>
      <c r="R33" s="7"/>
      <c r="S33" t="str">
        <f>_xlfn.XLOOKUP($C33,AssetLocs!$A$1:$AAH$1,AssetLocs!$A$7:$AAH$7,"") &amp; ""</f>
        <v/>
      </c>
      <c r="T33" t="str">
        <f>_xlfn.XLOOKUP($C33,AssetLocs!$A$1:$AAH$1,AssetLocs!$B$7:$AAI$7,"") &amp; ""</f>
        <v/>
      </c>
      <c r="U33" s="7"/>
      <c r="V33" t="str">
        <f>_xlfn.XLOOKUP($C33,AssetLocs!$A$1:$AAH$1,AssetLocs!$A$8:$AAH$8,"") &amp; ""</f>
        <v/>
      </c>
      <c r="W33" t="str">
        <f>_xlfn.XLOOKUP($C33,AssetLocs!$A$1:$AAH$1,AssetLocs!$B$8:$AAI$8,"") &amp; ""</f>
        <v/>
      </c>
      <c r="X33" s="7"/>
      <c r="Y33" s="11" t="str">
        <f>_xlfn.XLOOKUP($C33,AssetLocs!$A$1:$AAH$1,AssetLocs!$A$9:$AAH$9,"") &amp; ""</f>
        <v/>
      </c>
      <c r="Z33" s="11" t="str">
        <f>_xlfn.XLOOKUP($C33,AssetLocs!$A$1:$AAH$1,AssetLocs!$B$9:$AAI$9,"") &amp; ""</f>
        <v/>
      </c>
      <c r="AA33" s="7"/>
      <c r="AB33" s="11" t="str">
        <f>_xlfn.XLOOKUP($C33,AssetLocs!$A$1:$AAH$1,AssetLocs!$A$10:$AAH$10,"") &amp; ""</f>
        <v/>
      </c>
      <c r="AC33" s="11" t="str">
        <f>_xlfn.XLOOKUP($C33,AssetLocs!$A$1:$AAH$1,AssetLocs!$B$10:$AAI$10,"") &amp; ""</f>
        <v/>
      </c>
      <c r="AD33" s="7"/>
    </row>
    <row r="34" spans="1:30" x14ac:dyDescent="0.2">
      <c r="A34" t="str" cm="1">
        <f t="array" aca="1" ref="A34" ca="1">INDEX(INDIRECT(VLOOKUP($C$4, RoomLocs!$A$2:$B$35,2,)),ROW()-4,COLUMN()) &amp; ""</f>
        <v>Nurse</v>
      </c>
      <c r="B34" t="str" cm="1">
        <f t="array" aca="1" ref="B34" ca="1">INDEX(INDIRECT(VLOOKUP($C$4, RoomLocs!$A$2:$B$35,2,)),ROW()-4,COLUMN()) &amp; ""</f>
        <v>3</v>
      </c>
      <c r="C34" s="8"/>
      <c r="D34" t="str">
        <f>_xlfn.XLOOKUP($C34,AssetLocs!$A$1:$AAH$1,AssetLocs!$A$2:$AAH$2,"") &amp; ""</f>
        <v/>
      </c>
      <c r="E34" t="str">
        <f>_xlfn.XLOOKUP($C34,AssetLocs!$A$1:$AAH$1,AssetLocs!$B$2:$AAI$2,"") &amp; ""</f>
        <v/>
      </c>
      <c r="F34" s="7"/>
      <c r="G34" t="str">
        <f>_xlfn.XLOOKUP($C34,AssetLocs!$A$1:$AAH$1,AssetLocs!$A$3:$AAH$3,"") &amp; ""</f>
        <v/>
      </c>
      <c r="H34" t="str">
        <f>_xlfn.XLOOKUP($C34,AssetLocs!$A$1:$AAH$1,AssetLocs!$B$3:$AAI$3,"") &amp; ""</f>
        <v/>
      </c>
      <c r="I34" s="7"/>
      <c r="J34" t="str">
        <f>_xlfn.XLOOKUP($C34,AssetLocs!$A$1:$AAH$1,AssetLocs!$A$4:$AAH$4,"") &amp; ""</f>
        <v/>
      </c>
      <c r="K34" t="str">
        <f>_xlfn.XLOOKUP($C34,AssetLocs!$A$1:$AAH$1,AssetLocs!$B$4:$AAI$4,"") &amp; ""</f>
        <v/>
      </c>
      <c r="L34" s="7"/>
      <c r="M34" t="str">
        <f>_xlfn.XLOOKUP($C34,AssetLocs!$A$1:$AAH$1,AssetLocs!$A$5:$AAH$5,"") &amp; ""</f>
        <v/>
      </c>
      <c r="N34" t="str">
        <f>_xlfn.XLOOKUP($C34,AssetLocs!$A$1:$AAH$1,AssetLocs!$B$5:$AAI$5,"") &amp; ""</f>
        <v/>
      </c>
      <c r="O34" s="7"/>
      <c r="P34" t="str">
        <f>_xlfn.XLOOKUP($C34,AssetLocs!$A$1:$AAH$1,AssetLocs!$A$6:$AAH$6,"") &amp; ""</f>
        <v/>
      </c>
      <c r="Q34" t="str">
        <f>_xlfn.XLOOKUP($C34,AssetLocs!$A$1:$AAH$1,AssetLocs!$B$6:$AAI$6,"") &amp; ""</f>
        <v/>
      </c>
      <c r="R34" s="7"/>
      <c r="S34" t="str">
        <f>_xlfn.XLOOKUP($C34,AssetLocs!$A$1:$AAH$1,AssetLocs!$A$7:$AAH$7,"") &amp; ""</f>
        <v/>
      </c>
      <c r="T34" t="str">
        <f>_xlfn.XLOOKUP($C34,AssetLocs!$A$1:$AAH$1,AssetLocs!$B$7:$AAI$7,"") &amp; ""</f>
        <v/>
      </c>
      <c r="U34" s="7"/>
      <c r="V34" t="str">
        <f>_xlfn.XLOOKUP($C34,AssetLocs!$A$1:$AAH$1,AssetLocs!$A$8:$AAH$8,"") &amp; ""</f>
        <v/>
      </c>
      <c r="W34" t="str">
        <f>_xlfn.XLOOKUP($C34,AssetLocs!$A$1:$AAH$1,AssetLocs!$B$8:$AAI$8,"") &amp; ""</f>
        <v/>
      </c>
      <c r="X34" s="7"/>
      <c r="Y34" s="11" t="str">
        <f>_xlfn.XLOOKUP($C34,AssetLocs!$A$1:$AAH$1,AssetLocs!$A$9:$AAH$9,"") &amp; ""</f>
        <v/>
      </c>
      <c r="Z34" s="11" t="str">
        <f>_xlfn.XLOOKUP($C34,AssetLocs!$A$1:$AAH$1,AssetLocs!$B$9:$AAI$9,"") &amp; ""</f>
        <v/>
      </c>
      <c r="AA34" s="7"/>
      <c r="AB34" s="11" t="str">
        <f>_xlfn.XLOOKUP($C34,AssetLocs!$A$1:$AAH$1,AssetLocs!$A$10:$AAH$10,"") &amp; ""</f>
        <v/>
      </c>
      <c r="AC34" s="11" t="str">
        <f>_xlfn.XLOOKUP($C34,AssetLocs!$A$1:$AAH$1,AssetLocs!$B$10:$AAI$10,"") &amp; ""</f>
        <v/>
      </c>
      <c r="AD34" s="7"/>
    </row>
    <row r="35" spans="1:30" x14ac:dyDescent="0.2">
      <c r="A35" t="str" cm="1">
        <f t="array" aca="1" ref="A35" ca="1">INDEX(INDIRECT(VLOOKUP($C$4, RoomLocs!$A$2:$B$35,2,)),ROW()-4,COLUMN()) &amp; ""</f>
        <v>Bed</v>
      </c>
      <c r="B35" t="str" cm="1">
        <f t="array" aca="1" ref="B35" ca="1">INDEX(INDIRECT(VLOOKUP($C$4, RoomLocs!$A$2:$B$35,2,)),ROW()-4,COLUMN()) &amp; ""</f>
        <v>4</v>
      </c>
      <c r="C35" s="8"/>
      <c r="D35" t="str">
        <f>_xlfn.XLOOKUP($C35,AssetLocs!$A$1:$AAH$1,AssetLocs!$A$2:$AAH$2,"") &amp; ""</f>
        <v/>
      </c>
      <c r="E35" t="str">
        <f>_xlfn.XLOOKUP($C35,AssetLocs!$A$1:$AAH$1,AssetLocs!$B$2:$AAI$2,"") &amp; ""</f>
        <v/>
      </c>
      <c r="F35" s="7"/>
      <c r="G35" t="str">
        <f>_xlfn.XLOOKUP($C35,AssetLocs!$A$1:$AAH$1,AssetLocs!$A$3:$AAH$3,"") &amp; ""</f>
        <v/>
      </c>
      <c r="H35" t="str">
        <f>_xlfn.XLOOKUP($C35,AssetLocs!$A$1:$AAH$1,AssetLocs!$B$3:$AAI$3,"") &amp; ""</f>
        <v/>
      </c>
      <c r="I35" s="7"/>
      <c r="J35" t="str">
        <f>_xlfn.XLOOKUP($C35,AssetLocs!$A$1:$AAH$1,AssetLocs!$A$4:$AAH$4,"") &amp; ""</f>
        <v/>
      </c>
      <c r="K35" t="str">
        <f>_xlfn.XLOOKUP($C35,AssetLocs!$A$1:$AAH$1,AssetLocs!$B$4:$AAI$4,"") &amp; ""</f>
        <v/>
      </c>
      <c r="L35" s="7"/>
      <c r="M35" t="str">
        <f>_xlfn.XLOOKUP($C35,AssetLocs!$A$1:$AAH$1,AssetLocs!$A$5:$AAH$5,"") &amp; ""</f>
        <v/>
      </c>
      <c r="N35" t="str">
        <f>_xlfn.XLOOKUP($C35,AssetLocs!$A$1:$AAH$1,AssetLocs!$B$5:$AAI$5,"") &amp; ""</f>
        <v/>
      </c>
      <c r="O35" s="7"/>
      <c r="P35" t="str">
        <f>_xlfn.XLOOKUP($C35,AssetLocs!$A$1:$AAH$1,AssetLocs!$A$6:$AAH$6,"") &amp; ""</f>
        <v/>
      </c>
      <c r="Q35" t="str">
        <f>_xlfn.XLOOKUP($C35,AssetLocs!$A$1:$AAH$1,AssetLocs!$B$6:$AAI$6,"") &amp; ""</f>
        <v/>
      </c>
      <c r="R35" s="7"/>
      <c r="S35" t="str">
        <f>_xlfn.XLOOKUP($C35,AssetLocs!$A$1:$AAH$1,AssetLocs!$A$7:$AAH$7,"") &amp; ""</f>
        <v/>
      </c>
      <c r="T35" t="str">
        <f>_xlfn.XLOOKUP($C35,AssetLocs!$A$1:$AAH$1,AssetLocs!$B$7:$AAI$7,"") &amp; ""</f>
        <v/>
      </c>
      <c r="U35" s="7"/>
      <c r="V35" t="str">
        <f>_xlfn.XLOOKUP($C35,AssetLocs!$A$1:$AAH$1,AssetLocs!$A$8:$AAH$8,"") &amp; ""</f>
        <v/>
      </c>
      <c r="W35" t="str">
        <f>_xlfn.XLOOKUP($C35,AssetLocs!$A$1:$AAH$1,AssetLocs!$B$8:$AAI$8,"") &amp; ""</f>
        <v/>
      </c>
      <c r="X35" s="7"/>
      <c r="Y35" s="11" t="str">
        <f>_xlfn.XLOOKUP($C35,AssetLocs!$A$1:$AAH$1,AssetLocs!$A$9:$AAH$9,"") &amp; ""</f>
        <v/>
      </c>
      <c r="Z35" s="11" t="str">
        <f>_xlfn.XLOOKUP($C35,AssetLocs!$A$1:$AAH$1,AssetLocs!$B$9:$AAI$9,"") &amp; ""</f>
        <v/>
      </c>
      <c r="AA35" s="7"/>
      <c r="AB35" s="11" t="str">
        <f>_xlfn.XLOOKUP($C35,AssetLocs!$A$1:$AAH$1,AssetLocs!$A$10:$AAH$10,"") &amp; ""</f>
        <v/>
      </c>
      <c r="AC35" s="11" t="str">
        <f>_xlfn.XLOOKUP($C35,AssetLocs!$A$1:$AAH$1,AssetLocs!$B$10:$AAI$10,"") &amp; ""</f>
        <v/>
      </c>
      <c r="AD35" s="7"/>
    </row>
    <row r="36" spans="1:30" x14ac:dyDescent="0.2">
      <c r="A36" t="str" cm="1">
        <f t="array" aca="1" ref="A36" ca="1">INDEX(INDIRECT(VLOOKUP($C$4, RoomLocs!$A$2:$B$35,2,)),ROW()-4,COLUMN()) &amp; ""</f>
        <v>Wall</v>
      </c>
      <c r="B36" t="str" cm="1">
        <f t="array" aca="1" ref="B36" ca="1">INDEX(INDIRECT(VLOOKUP($C$4, RoomLocs!$A$2:$B$35,2,)),ROW()-4,COLUMN()) &amp; ""</f>
        <v>4</v>
      </c>
      <c r="C36" s="8"/>
      <c r="D36" t="str">
        <f>_xlfn.XLOOKUP($C36,AssetLocs!$A$1:$AAH$1,AssetLocs!$A$2:$AAH$2,"") &amp; ""</f>
        <v/>
      </c>
      <c r="E36" t="str">
        <f>_xlfn.XLOOKUP($C36,AssetLocs!$A$1:$AAH$1,AssetLocs!$B$2:$AAI$2,"") &amp; ""</f>
        <v/>
      </c>
      <c r="F36" s="7"/>
      <c r="G36" t="str">
        <f>_xlfn.XLOOKUP($C36,AssetLocs!$A$1:$AAH$1,AssetLocs!$A$3:$AAH$3,"") &amp; ""</f>
        <v/>
      </c>
      <c r="H36" t="str">
        <f>_xlfn.XLOOKUP($C36,AssetLocs!$A$1:$AAH$1,AssetLocs!$B$3:$AAI$3,"") &amp; ""</f>
        <v/>
      </c>
      <c r="I36" s="7"/>
      <c r="J36" t="str">
        <f>_xlfn.XLOOKUP($C36,AssetLocs!$A$1:$AAH$1,AssetLocs!$A$4:$AAH$4,"") &amp; ""</f>
        <v/>
      </c>
      <c r="K36" t="str">
        <f>_xlfn.XLOOKUP($C36,AssetLocs!$A$1:$AAH$1,AssetLocs!$B$4:$AAI$4,"") &amp; ""</f>
        <v/>
      </c>
      <c r="L36" s="7"/>
      <c r="M36" t="str">
        <f>_xlfn.XLOOKUP($C36,AssetLocs!$A$1:$AAH$1,AssetLocs!$A$5:$AAH$5,"") &amp; ""</f>
        <v/>
      </c>
      <c r="N36" t="str">
        <f>_xlfn.XLOOKUP($C36,AssetLocs!$A$1:$AAH$1,AssetLocs!$B$5:$AAI$5,"") &amp; ""</f>
        <v/>
      </c>
      <c r="O36" s="7"/>
      <c r="P36" t="str">
        <f>_xlfn.XLOOKUP($C36,AssetLocs!$A$1:$AAH$1,AssetLocs!$A$6:$AAH$6,"") &amp; ""</f>
        <v/>
      </c>
      <c r="Q36" t="str">
        <f>_xlfn.XLOOKUP($C36,AssetLocs!$A$1:$AAH$1,AssetLocs!$B$6:$AAI$6,"") &amp; ""</f>
        <v/>
      </c>
      <c r="R36" s="7"/>
      <c r="S36" t="str">
        <f>_xlfn.XLOOKUP($C36,AssetLocs!$A$1:$AAH$1,AssetLocs!$A$7:$AAH$7,"") &amp; ""</f>
        <v/>
      </c>
      <c r="T36" t="str">
        <f>_xlfn.XLOOKUP($C36,AssetLocs!$A$1:$AAH$1,AssetLocs!$B$7:$AAI$7,"") &amp; ""</f>
        <v/>
      </c>
      <c r="U36" s="7"/>
      <c r="V36" t="str">
        <f>_xlfn.XLOOKUP($C36,AssetLocs!$A$1:$AAH$1,AssetLocs!$A$8:$AAH$8,"") &amp; ""</f>
        <v/>
      </c>
      <c r="W36" t="str">
        <f>_xlfn.XLOOKUP($C36,AssetLocs!$A$1:$AAH$1,AssetLocs!$B$8:$AAI$8,"") &amp; ""</f>
        <v/>
      </c>
      <c r="X36" s="7"/>
      <c r="Y36" s="11" t="str">
        <f>_xlfn.XLOOKUP($C36,AssetLocs!$A$1:$AAH$1,AssetLocs!$A$9:$AAH$9,"") &amp; ""</f>
        <v/>
      </c>
      <c r="Z36" s="11" t="str">
        <f>_xlfn.XLOOKUP($C36,AssetLocs!$A$1:$AAH$1,AssetLocs!$B$9:$AAI$9,"") &amp; ""</f>
        <v/>
      </c>
      <c r="AA36" s="7"/>
      <c r="AB36" s="11" t="str">
        <f>_xlfn.XLOOKUP($C36,AssetLocs!$A$1:$AAH$1,AssetLocs!$A$10:$AAH$10,"") &amp; ""</f>
        <v/>
      </c>
      <c r="AC36" s="11" t="str">
        <f>_xlfn.XLOOKUP($C36,AssetLocs!$A$1:$AAH$1,AssetLocs!$B$10:$AAI$10,"") &amp; ""</f>
        <v/>
      </c>
      <c r="AD36" s="7"/>
    </row>
    <row r="37" spans="1:30" x14ac:dyDescent="0.2">
      <c r="A37" t="str" cm="1">
        <f t="array" aca="1" ref="A37" ca="1">INDEX(INDIRECT(VLOOKUP($C$4, RoomLocs!$A$2:$B$35,2,)),ROW()-4,COLUMN()) &amp; ""</f>
        <v>BedsideHead</v>
      </c>
      <c r="B37" t="str" cm="1">
        <f t="array" aca="1" ref="B37" ca="1">INDEX(INDIRECT(VLOOKUP($C$4, RoomLocs!$A$2:$B$35,2,)),ROW()-4,COLUMN()) &amp; ""</f>
        <v>4</v>
      </c>
      <c r="C37" s="8"/>
      <c r="D37" t="str">
        <f>_xlfn.XLOOKUP($C37,AssetLocs!$A$1:$AAH$1,AssetLocs!$A$2:$AAH$2,"") &amp; ""</f>
        <v/>
      </c>
      <c r="E37" t="str">
        <f>_xlfn.XLOOKUP($C37,AssetLocs!$A$1:$AAH$1,AssetLocs!$B$2:$AAI$2,"") &amp; ""</f>
        <v/>
      </c>
      <c r="F37" s="8"/>
      <c r="G37" t="str">
        <f>_xlfn.XLOOKUP($C37,AssetLocs!$A$1:$AAH$1,AssetLocs!$A$3:$AAH$3,"") &amp; ""</f>
        <v/>
      </c>
      <c r="H37" t="str">
        <f>_xlfn.XLOOKUP($C37,AssetLocs!$A$1:$AAH$1,AssetLocs!$B$3:$AAI$3,"") &amp; ""</f>
        <v/>
      </c>
      <c r="I37" s="8"/>
      <c r="J37" t="str">
        <f>_xlfn.XLOOKUP($C37,AssetLocs!$A$1:$AAH$1,AssetLocs!$A$4:$AAH$4,"") &amp; ""</f>
        <v/>
      </c>
      <c r="K37" t="str">
        <f>_xlfn.XLOOKUP($C37,AssetLocs!$A$1:$AAH$1,AssetLocs!$B$4:$AAI$4,"") &amp; ""</f>
        <v/>
      </c>
      <c r="L37" s="8"/>
      <c r="M37" t="str">
        <f>_xlfn.XLOOKUP($C37,AssetLocs!$A$1:$AAH$1,AssetLocs!$A$5:$AAH$5,"") &amp; ""</f>
        <v/>
      </c>
      <c r="N37" t="str">
        <f>_xlfn.XLOOKUP($C37,AssetLocs!$A$1:$AAH$1,AssetLocs!$B$5:$AAI$5,"") &amp; ""</f>
        <v/>
      </c>
      <c r="O37" s="8"/>
      <c r="P37" t="str">
        <f>_xlfn.XLOOKUP($C37,AssetLocs!$A$1:$AAH$1,AssetLocs!$A$6:$AAH$6,"") &amp; ""</f>
        <v/>
      </c>
      <c r="Q37" t="str">
        <f>_xlfn.XLOOKUP($C37,AssetLocs!$A$1:$AAH$1,AssetLocs!$B$6:$AAI$6,"") &amp; ""</f>
        <v/>
      </c>
      <c r="R37" s="7"/>
      <c r="S37" t="str">
        <f>_xlfn.XLOOKUP($C37,AssetLocs!$A$1:$AAH$1,AssetLocs!$A$7:$AAH$7,"") &amp; ""</f>
        <v/>
      </c>
      <c r="T37" t="str">
        <f>_xlfn.XLOOKUP($C37,AssetLocs!$A$1:$AAH$1,AssetLocs!$B$7:$AAI$7,"") &amp; ""</f>
        <v/>
      </c>
      <c r="U37" s="7"/>
      <c r="V37" t="str">
        <f>_xlfn.XLOOKUP($C37,AssetLocs!$A$1:$AAH$1,AssetLocs!$A$8:$AAH$8,"") &amp; ""</f>
        <v/>
      </c>
      <c r="W37" t="str">
        <f>_xlfn.XLOOKUP($C37,AssetLocs!$A$1:$AAH$1,AssetLocs!$B$8:$AAI$8,"") &amp; ""</f>
        <v/>
      </c>
      <c r="X37" s="7"/>
      <c r="Y37" s="11" t="str">
        <f>_xlfn.XLOOKUP($C37,AssetLocs!$A$1:$AAH$1,AssetLocs!$A$9:$AAH$9,"") &amp; ""</f>
        <v/>
      </c>
      <c r="Z37" s="11" t="str">
        <f>_xlfn.XLOOKUP($C37,AssetLocs!$A$1:$AAH$1,AssetLocs!$B$9:$AAI$9,"") &amp; ""</f>
        <v/>
      </c>
      <c r="AA37" s="7"/>
      <c r="AB37" s="11" t="str">
        <f>_xlfn.XLOOKUP($C37,AssetLocs!$A$1:$AAH$1,AssetLocs!$A$10:$AAH$10,"") &amp; ""</f>
        <v/>
      </c>
      <c r="AC37" s="11" t="str">
        <f>_xlfn.XLOOKUP($C37,AssetLocs!$A$1:$AAH$1,AssetLocs!$B$10:$AAI$10,"") &amp; ""</f>
        <v/>
      </c>
      <c r="AD37" s="7"/>
    </row>
    <row r="38" spans="1:30" x14ac:dyDescent="0.2">
      <c r="A38" t="str" cm="1">
        <f t="array" aca="1" ref="A38" ca="1">INDEX(INDIRECT(VLOOKUP($C$4, RoomLocs!$A$2:$B$35,2,)),ROW()-4,COLUMN()) &amp; ""</f>
        <v>BedsideHeadLeft</v>
      </c>
      <c r="B38" t="str" cm="1">
        <f t="array" aca="1" ref="B38" ca="1">INDEX(INDIRECT(VLOOKUP($C$4, RoomLocs!$A$2:$B$35,2,)),ROW()-4,COLUMN()) &amp; ""</f>
        <v>4</v>
      </c>
      <c r="C38" s="8"/>
      <c r="D38" t="str">
        <f>_xlfn.XLOOKUP($C38,AssetLocs!$A$1:$AAH$1,AssetLocs!$A$2:$AAH$2,"") &amp; ""</f>
        <v/>
      </c>
      <c r="E38" t="str">
        <f>_xlfn.XLOOKUP($C38,AssetLocs!$A$1:$AAH$1,AssetLocs!$B$2:$AAI$2,"") &amp; ""</f>
        <v/>
      </c>
      <c r="F38" s="7"/>
      <c r="G38" t="str">
        <f>_xlfn.XLOOKUP($C38,AssetLocs!$A$1:$AAH$1,AssetLocs!$A$3:$AAH$3,"") &amp; ""</f>
        <v/>
      </c>
      <c r="H38" t="str">
        <f>_xlfn.XLOOKUP($C38,AssetLocs!$A$1:$AAH$1,AssetLocs!$B$3:$AAI$3,"") &amp; ""</f>
        <v/>
      </c>
      <c r="I38" s="7"/>
      <c r="J38" t="str">
        <f>_xlfn.XLOOKUP($C38,AssetLocs!$A$1:$AAH$1,AssetLocs!$A$4:$AAH$4,"") &amp; ""</f>
        <v/>
      </c>
      <c r="K38" t="str">
        <f>_xlfn.XLOOKUP($C38,AssetLocs!$A$1:$AAH$1,AssetLocs!$B$4:$AAI$4,"") &amp; ""</f>
        <v/>
      </c>
      <c r="L38" s="7"/>
      <c r="M38" t="str">
        <f>_xlfn.XLOOKUP($C38,AssetLocs!$A$1:$AAH$1,AssetLocs!$A$5:$AAH$5,"") &amp; ""</f>
        <v/>
      </c>
      <c r="N38" t="str">
        <f>_xlfn.XLOOKUP($C38,AssetLocs!$A$1:$AAH$1,AssetLocs!$B$5:$AAI$5,"") &amp; ""</f>
        <v/>
      </c>
      <c r="O38" s="7"/>
      <c r="P38" t="str">
        <f>_xlfn.XLOOKUP($C38,AssetLocs!$A$1:$AAH$1,AssetLocs!$A$6:$AAH$6,"") &amp; ""</f>
        <v/>
      </c>
      <c r="Q38" t="str">
        <f>_xlfn.XLOOKUP($C38,AssetLocs!$A$1:$AAH$1,AssetLocs!$B$6:$AAI$6,"") &amp; ""</f>
        <v/>
      </c>
      <c r="R38" s="7"/>
      <c r="S38" t="str">
        <f>_xlfn.XLOOKUP($C38,AssetLocs!$A$1:$AAH$1,AssetLocs!$A$7:$AAH$7,"") &amp; ""</f>
        <v/>
      </c>
      <c r="T38" t="str">
        <f>_xlfn.XLOOKUP($C38,AssetLocs!$A$1:$AAH$1,AssetLocs!$B$7:$AAI$7,"") &amp; ""</f>
        <v/>
      </c>
      <c r="U38" s="7"/>
      <c r="V38" t="str">
        <f>_xlfn.XLOOKUP($C38,AssetLocs!$A$1:$AAH$1,AssetLocs!$A$8:$AAH$8,"") &amp; ""</f>
        <v/>
      </c>
      <c r="W38" t="str">
        <f>_xlfn.XLOOKUP($C38,AssetLocs!$A$1:$AAH$1,AssetLocs!$B$8:$AAI$8,"") &amp; ""</f>
        <v/>
      </c>
      <c r="X38" s="7"/>
      <c r="Y38" s="11" t="str">
        <f>_xlfn.XLOOKUP($C38,AssetLocs!$A$1:$AAH$1,AssetLocs!$A$9:$AAH$9,"") &amp; ""</f>
        <v/>
      </c>
      <c r="Z38" s="11" t="str">
        <f>_xlfn.XLOOKUP($C38,AssetLocs!$A$1:$AAH$1,AssetLocs!$B$9:$AAI$9,"") &amp; ""</f>
        <v/>
      </c>
      <c r="AA38" s="7"/>
      <c r="AB38" s="11" t="str">
        <f>_xlfn.XLOOKUP($C38,AssetLocs!$A$1:$AAH$1,AssetLocs!$A$10:$AAH$10,"") &amp; ""</f>
        <v/>
      </c>
      <c r="AC38" s="11" t="str">
        <f>_xlfn.XLOOKUP($C38,AssetLocs!$A$1:$AAH$1,AssetLocs!$B$10:$AAI$10,"") &amp; ""</f>
        <v/>
      </c>
      <c r="AD38" s="7"/>
    </row>
    <row r="39" spans="1:30" x14ac:dyDescent="0.2">
      <c r="A39" t="str" cm="1">
        <f t="array" aca="1" ref="A39" ca="1">INDEX(INDIRECT(VLOOKUP($C$4, RoomLocs!$A$2:$B$35,2,)),ROW()-4,COLUMN()) &amp; ""</f>
        <v>BedsideMid</v>
      </c>
      <c r="B39" t="str" cm="1">
        <f t="array" aca="1" ref="B39" ca="1">INDEX(INDIRECT(VLOOKUP($C$4, RoomLocs!$A$2:$B$35,2,)),ROW()-4,COLUMN()) &amp; ""</f>
        <v>4</v>
      </c>
      <c r="C39" s="8"/>
      <c r="D39" t="str">
        <f>_xlfn.XLOOKUP($C39,AssetLocs!$A$1:$AAH$1,AssetLocs!$A$2:$AAH$2,"") &amp; ""</f>
        <v/>
      </c>
      <c r="E39" t="str">
        <f>_xlfn.XLOOKUP($C39,AssetLocs!$A$1:$AAH$1,AssetLocs!$B$2:$AAI$2,"") &amp; ""</f>
        <v/>
      </c>
      <c r="F39" s="7"/>
      <c r="G39" t="str">
        <f>_xlfn.XLOOKUP($C39,AssetLocs!$A$1:$AAH$1,AssetLocs!$A$3:$AAH$3,"") &amp; ""</f>
        <v/>
      </c>
      <c r="H39" t="str">
        <f>_xlfn.XLOOKUP($C39,AssetLocs!$A$1:$AAH$1,AssetLocs!$B$3:$AAI$3,"") &amp; ""</f>
        <v/>
      </c>
      <c r="I39" s="7"/>
      <c r="J39" t="str">
        <f>_xlfn.XLOOKUP($C39,AssetLocs!$A$1:$AAH$1,AssetLocs!$A$4:$AAH$4,"") &amp; ""</f>
        <v/>
      </c>
      <c r="K39" t="str">
        <f>_xlfn.XLOOKUP($C39,AssetLocs!$A$1:$AAH$1,AssetLocs!$B$4:$AAI$4,"") &amp; ""</f>
        <v/>
      </c>
      <c r="L39" s="7"/>
      <c r="M39" t="str">
        <f>_xlfn.XLOOKUP($C39,AssetLocs!$A$1:$AAH$1,AssetLocs!$A$5:$AAH$5,"") &amp; ""</f>
        <v/>
      </c>
      <c r="N39" t="str">
        <f>_xlfn.XLOOKUP($C39,AssetLocs!$A$1:$AAH$1,AssetLocs!$B$5:$AAI$5,"") &amp; ""</f>
        <v/>
      </c>
      <c r="O39" s="7"/>
      <c r="P39" t="str">
        <f>_xlfn.XLOOKUP($C39,AssetLocs!$A$1:$AAH$1,AssetLocs!$A$6:$AAH$6,"") &amp; ""</f>
        <v/>
      </c>
      <c r="Q39" t="str">
        <f>_xlfn.XLOOKUP($C39,AssetLocs!$A$1:$AAH$1,AssetLocs!$B$6:$AAI$6,"") &amp; ""</f>
        <v/>
      </c>
      <c r="R39" s="7"/>
      <c r="S39" t="str">
        <f>_xlfn.XLOOKUP($C39,AssetLocs!$A$1:$AAH$1,AssetLocs!$A$7:$AAH$7,"") &amp; ""</f>
        <v/>
      </c>
      <c r="T39" t="str">
        <f>_xlfn.XLOOKUP($C39,AssetLocs!$A$1:$AAH$1,AssetLocs!$B$7:$AAI$7,"") &amp; ""</f>
        <v/>
      </c>
      <c r="U39" s="7"/>
      <c r="V39" t="str">
        <f>_xlfn.XLOOKUP($C39,AssetLocs!$A$1:$AAH$1,AssetLocs!$A$8:$AAH$8,"") &amp; ""</f>
        <v/>
      </c>
      <c r="W39" t="str">
        <f>_xlfn.XLOOKUP($C39,AssetLocs!$A$1:$AAH$1,AssetLocs!$B$8:$AAI$8,"") &amp; ""</f>
        <v/>
      </c>
      <c r="X39" s="7"/>
      <c r="Y39" s="11" t="str">
        <f>_xlfn.XLOOKUP($C39,AssetLocs!$A$1:$AAH$1,AssetLocs!$A$9:$AAH$9,"") &amp; ""</f>
        <v/>
      </c>
      <c r="Z39" s="11" t="str">
        <f>_xlfn.XLOOKUP($C39,AssetLocs!$A$1:$AAH$1,AssetLocs!$B$9:$AAI$9,"") &amp; ""</f>
        <v/>
      </c>
      <c r="AA39" s="7"/>
      <c r="AB39" s="11" t="str">
        <f>_xlfn.XLOOKUP($C39,AssetLocs!$A$1:$AAH$1,AssetLocs!$A$10:$AAH$10,"") &amp; ""</f>
        <v/>
      </c>
      <c r="AC39" s="11" t="str">
        <f>_xlfn.XLOOKUP($C39,AssetLocs!$A$1:$AAH$1,AssetLocs!$B$10:$AAI$10,"") &amp; ""</f>
        <v/>
      </c>
      <c r="AD39" s="7"/>
    </row>
    <row r="40" spans="1:30" x14ac:dyDescent="0.2">
      <c r="A40" t="str" cm="1">
        <f t="array" aca="1" ref="A40" ca="1">INDEX(INDIRECT(VLOOKUP($C$4, RoomLocs!$A$2:$B$35,2,)),ROW()-4,COLUMN()) &amp; ""</f>
        <v>BedsideFoot</v>
      </c>
      <c r="B40" t="str" cm="1">
        <f t="array" aca="1" ref="B40" ca="1">INDEX(INDIRECT(VLOOKUP($C$4, RoomLocs!$A$2:$B$35,2,)),ROW()-4,COLUMN()) &amp; ""</f>
        <v>4</v>
      </c>
      <c r="C40" s="8"/>
      <c r="D40" t="str">
        <f>_xlfn.XLOOKUP($C40,AssetLocs!$A$1:$AAH$1,AssetLocs!$A$2:$AAH$2,"") &amp; ""</f>
        <v/>
      </c>
      <c r="E40" t="str">
        <f>_xlfn.XLOOKUP($C40,AssetLocs!$A$1:$AAH$1,AssetLocs!$B$2:$AAI$2,"") &amp; ""</f>
        <v/>
      </c>
      <c r="F40" s="7"/>
      <c r="G40" t="str">
        <f>_xlfn.XLOOKUP($C40,AssetLocs!$A$1:$AAH$1,AssetLocs!$A$3:$AAH$3,"") &amp; ""</f>
        <v/>
      </c>
      <c r="H40" t="str">
        <f>_xlfn.XLOOKUP($C40,AssetLocs!$A$1:$AAH$1,AssetLocs!$B$3:$AAI$3,"") &amp; ""</f>
        <v/>
      </c>
      <c r="I40" s="7"/>
      <c r="J40" t="str">
        <f>_xlfn.XLOOKUP($C40,AssetLocs!$A$1:$AAH$1,AssetLocs!$A$4:$AAH$4,"") &amp; ""</f>
        <v/>
      </c>
      <c r="K40" t="str">
        <f>_xlfn.XLOOKUP($C40,AssetLocs!$A$1:$AAH$1,AssetLocs!$B$4:$AAI$4,"") &amp; ""</f>
        <v/>
      </c>
      <c r="L40" s="7"/>
      <c r="M40" t="str">
        <f>_xlfn.XLOOKUP($C40,AssetLocs!$A$1:$AAH$1,AssetLocs!$A$5:$AAH$5,"") &amp; ""</f>
        <v/>
      </c>
      <c r="N40" t="str">
        <f>_xlfn.XLOOKUP($C40,AssetLocs!$A$1:$AAH$1,AssetLocs!$B$5:$AAI$5,"") &amp; ""</f>
        <v/>
      </c>
      <c r="O40" s="7"/>
      <c r="P40" t="str">
        <f>_xlfn.XLOOKUP($C40,AssetLocs!$A$1:$AAH$1,AssetLocs!$A$6:$AAH$6,"") &amp; ""</f>
        <v/>
      </c>
      <c r="Q40" t="str">
        <f>_xlfn.XLOOKUP($C40,AssetLocs!$A$1:$AAH$1,AssetLocs!$B$6:$AAI$6,"") &amp; ""</f>
        <v/>
      </c>
      <c r="R40" s="7"/>
      <c r="S40" t="str">
        <f>_xlfn.XLOOKUP($C40,AssetLocs!$A$1:$AAH$1,AssetLocs!$A$7:$AAH$7,"") &amp; ""</f>
        <v/>
      </c>
      <c r="T40" t="str">
        <f>_xlfn.XLOOKUP($C40,AssetLocs!$A$1:$AAH$1,AssetLocs!$B$7:$AAI$7,"") &amp; ""</f>
        <v/>
      </c>
      <c r="U40" s="7"/>
      <c r="V40" t="str">
        <f>_xlfn.XLOOKUP($C40,AssetLocs!$A$1:$AAH$1,AssetLocs!$A$8:$AAH$8,"") &amp; ""</f>
        <v/>
      </c>
      <c r="W40" t="str">
        <f>_xlfn.XLOOKUP($C40,AssetLocs!$A$1:$AAH$1,AssetLocs!$B$8:$AAI$8,"") &amp; ""</f>
        <v/>
      </c>
      <c r="X40" s="7"/>
      <c r="Y40" s="11" t="str">
        <f>_xlfn.XLOOKUP($C40,AssetLocs!$A$1:$AAH$1,AssetLocs!$A$9:$AAH$9,"") &amp; ""</f>
        <v/>
      </c>
      <c r="Z40" s="11" t="str">
        <f>_xlfn.XLOOKUP($C40,AssetLocs!$A$1:$AAH$1,AssetLocs!$B$9:$AAI$9,"") &amp; ""</f>
        <v/>
      </c>
      <c r="AA40" s="7"/>
      <c r="AB40" s="11" t="str">
        <f>_xlfn.XLOOKUP($C40,AssetLocs!$A$1:$AAH$1,AssetLocs!$A$10:$AAH$10,"") &amp; ""</f>
        <v/>
      </c>
      <c r="AC40" s="11" t="str">
        <f>_xlfn.XLOOKUP($C40,AssetLocs!$A$1:$AAH$1,AssetLocs!$B$10:$AAI$10,"") &amp; ""</f>
        <v/>
      </c>
      <c r="AD40" s="7"/>
    </row>
    <row r="41" spans="1:30" x14ac:dyDescent="0.2">
      <c r="A41" t="str" cm="1">
        <f t="array" aca="1" ref="A41" ca="1">INDEX(INDIRECT(VLOOKUP($C$4, RoomLocs!$A$2:$B$35,2,)),ROW()-4,COLUMN()) &amp; ""</f>
        <v>Desk</v>
      </c>
      <c r="B41" t="str" cm="1">
        <f t="array" aca="1" ref="B41" ca="1">INDEX(INDIRECT(VLOOKUP($C$4, RoomLocs!$A$2:$B$35,2,)),ROW()-4,COLUMN()) &amp; ""</f>
        <v>4</v>
      </c>
      <c r="C41" s="8"/>
      <c r="D41" t="str">
        <f>_xlfn.XLOOKUP($C41,AssetLocs!$A$1:$AAH$1,AssetLocs!$A$2:$AAH$2,"") &amp; ""</f>
        <v/>
      </c>
      <c r="E41" t="str">
        <f>_xlfn.XLOOKUP($C41,AssetLocs!$A$1:$AAH$1,AssetLocs!$B$2:$AAI$2,"") &amp; ""</f>
        <v/>
      </c>
      <c r="F41" s="7"/>
      <c r="G41" t="str">
        <f>_xlfn.XLOOKUP($C41,AssetLocs!$A$1:$AAH$1,AssetLocs!$A$3:$AAH$3,"") &amp; ""</f>
        <v/>
      </c>
      <c r="H41" t="str">
        <f>_xlfn.XLOOKUP($C41,AssetLocs!$A$1:$AAH$1,AssetLocs!$B$3:$AAI$3,"") &amp; ""</f>
        <v/>
      </c>
      <c r="I41" s="7"/>
      <c r="J41" t="str">
        <f>_xlfn.XLOOKUP($C41,AssetLocs!$A$1:$AAH$1,AssetLocs!$A$4:$AAH$4,"") &amp; ""</f>
        <v/>
      </c>
      <c r="K41" t="str">
        <f>_xlfn.XLOOKUP($C41,AssetLocs!$A$1:$AAH$1,AssetLocs!$B$4:$AAI$4,"") &amp; ""</f>
        <v/>
      </c>
      <c r="L41" s="7"/>
      <c r="M41" t="str">
        <f>_xlfn.XLOOKUP($C41,AssetLocs!$A$1:$AAH$1,AssetLocs!$A$5:$AAH$5,"") &amp; ""</f>
        <v/>
      </c>
      <c r="N41" t="str">
        <f>_xlfn.XLOOKUP($C41,AssetLocs!$A$1:$AAH$1,AssetLocs!$B$5:$AAI$5,"") &amp; ""</f>
        <v/>
      </c>
      <c r="O41" s="7"/>
      <c r="P41" t="str">
        <f>_xlfn.XLOOKUP($C41,AssetLocs!$A$1:$AAH$1,AssetLocs!$A$6:$AAH$6,"") &amp; ""</f>
        <v/>
      </c>
      <c r="Q41" t="str">
        <f>_xlfn.XLOOKUP($C41,AssetLocs!$A$1:$AAH$1,AssetLocs!$B$6:$AAI$6,"") &amp; ""</f>
        <v/>
      </c>
      <c r="R41" s="8"/>
      <c r="S41" t="str">
        <f>_xlfn.XLOOKUP($C41,AssetLocs!$A$1:$AAH$1,AssetLocs!$A$7:$AAH$7,"") &amp; ""</f>
        <v/>
      </c>
      <c r="T41" t="str">
        <f>_xlfn.XLOOKUP($C41,AssetLocs!$A$1:$AAH$1,AssetLocs!$B$7:$AAI$7,"") &amp; ""</f>
        <v/>
      </c>
      <c r="U41" s="7"/>
      <c r="V41" t="str">
        <f>_xlfn.XLOOKUP($C41,AssetLocs!$A$1:$AAH$1,AssetLocs!$A$8:$AAH$8,"") &amp; ""</f>
        <v/>
      </c>
      <c r="W41" t="str">
        <f>_xlfn.XLOOKUP($C41,AssetLocs!$A$1:$AAH$1,AssetLocs!$B$8:$AAI$8,"") &amp; ""</f>
        <v/>
      </c>
      <c r="X41" s="7"/>
      <c r="Y41" s="11" t="str">
        <f>_xlfn.XLOOKUP($C41,AssetLocs!$A$1:$AAH$1,AssetLocs!$A$9:$AAH$9,"") &amp; ""</f>
        <v/>
      </c>
      <c r="Z41" s="11" t="str">
        <f>_xlfn.XLOOKUP($C41,AssetLocs!$A$1:$AAH$1,AssetLocs!$B$9:$AAI$9,"") &amp; ""</f>
        <v/>
      </c>
      <c r="AA41" s="7"/>
      <c r="AB41" s="11" t="str">
        <f>_xlfn.XLOOKUP($C41,AssetLocs!$A$1:$AAH$1,AssetLocs!$A$10:$AAH$10,"") &amp; ""</f>
        <v/>
      </c>
      <c r="AC41" s="11" t="str">
        <f>_xlfn.XLOOKUP($C41,AssetLocs!$A$1:$AAH$1,AssetLocs!$B$10:$AAI$10,"") &amp; ""</f>
        <v/>
      </c>
      <c r="AD41" s="7"/>
    </row>
    <row r="42" spans="1:30" x14ac:dyDescent="0.2">
      <c r="A42" t="str" cm="1">
        <f t="array" aca="1" ref="A42" ca="1">INDEX(INDIRECT(VLOOKUP($C$4, RoomLocs!$A$2:$B$35,2,)),ROW()-4,COLUMN()) &amp; ""</f>
        <v>Cart</v>
      </c>
      <c r="B42" t="str" cm="1">
        <f t="array" aca="1" ref="B42" ca="1">INDEX(INDIRECT(VLOOKUP($C$4, RoomLocs!$A$2:$B$35,2,)),ROW()-4,COLUMN()) &amp; ""</f>
        <v>4</v>
      </c>
      <c r="C42" s="8"/>
      <c r="D42" t="str">
        <f>_xlfn.XLOOKUP($C42,AssetLocs!$A$1:$AAH$1,AssetLocs!$A$2:$AAH$2,"") &amp; ""</f>
        <v/>
      </c>
      <c r="E42" t="str">
        <f>_xlfn.XLOOKUP($C42,AssetLocs!$A$1:$AAH$1,AssetLocs!$B$2:$AAI$2,"") &amp; ""</f>
        <v/>
      </c>
      <c r="F42" s="8"/>
      <c r="G42" t="str">
        <f>_xlfn.XLOOKUP($C42,AssetLocs!$A$1:$AAH$1,AssetLocs!$A$3:$AAH$3,"") &amp; ""</f>
        <v/>
      </c>
      <c r="H42" t="str">
        <f>_xlfn.XLOOKUP($C42,AssetLocs!$A$1:$AAH$1,AssetLocs!$B$3:$AAI$3,"") &amp; ""</f>
        <v/>
      </c>
      <c r="I42" s="8"/>
      <c r="J42" t="str">
        <f>_xlfn.XLOOKUP($C42,AssetLocs!$A$1:$AAH$1,AssetLocs!$A$4:$AAH$4,"") &amp; ""</f>
        <v/>
      </c>
      <c r="K42" t="str">
        <f>_xlfn.XLOOKUP($C42,AssetLocs!$A$1:$AAH$1,AssetLocs!$B$4:$AAI$4,"") &amp; ""</f>
        <v/>
      </c>
      <c r="L42" s="8"/>
      <c r="M42" t="str">
        <f>_xlfn.XLOOKUP($C42,AssetLocs!$A$1:$AAH$1,AssetLocs!$A$5:$AAH$5,"") &amp; ""</f>
        <v/>
      </c>
      <c r="N42" t="str">
        <f>_xlfn.XLOOKUP($C42,AssetLocs!$A$1:$AAH$1,AssetLocs!$B$5:$AAI$5,"") &amp; ""</f>
        <v/>
      </c>
      <c r="O42" s="8"/>
      <c r="P42" t="str">
        <f>_xlfn.XLOOKUP($C42,AssetLocs!$A$1:$AAH$1,AssetLocs!$A$6:$AAH$6,"") &amp; ""</f>
        <v/>
      </c>
      <c r="Q42" t="str">
        <f>_xlfn.XLOOKUP($C42,AssetLocs!$A$1:$AAH$1,AssetLocs!$B$6:$AAI$6,"") &amp; ""</f>
        <v/>
      </c>
      <c r="R42" s="8"/>
      <c r="S42" t="str">
        <f>_xlfn.XLOOKUP($C42,AssetLocs!$A$1:$AAH$1,AssetLocs!$A$7:$AAH$7,"") &amp; ""</f>
        <v/>
      </c>
      <c r="T42" t="str">
        <f>_xlfn.XLOOKUP($C42,AssetLocs!$A$1:$AAH$1,AssetLocs!$B$7:$AAI$7,"") &amp; ""</f>
        <v/>
      </c>
      <c r="U42" s="8"/>
      <c r="V42" t="str">
        <f>_xlfn.XLOOKUP($C42,AssetLocs!$A$1:$AAH$1,AssetLocs!$A$8:$AAH$8,"") &amp; ""</f>
        <v/>
      </c>
      <c r="W42" t="str">
        <f>_xlfn.XLOOKUP($C42,AssetLocs!$A$1:$AAH$1,AssetLocs!$B$8:$AAI$8,"") &amp; ""</f>
        <v/>
      </c>
      <c r="X42" s="8"/>
      <c r="Y42" s="11" t="str">
        <f>_xlfn.XLOOKUP($C42,AssetLocs!$A$1:$AAH$1,AssetLocs!$A$9:$AAH$9,"") &amp; ""</f>
        <v/>
      </c>
      <c r="Z42" s="11" t="str">
        <f>_xlfn.XLOOKUP($C42,AssetLocs!$A$1:$AAH$1,AssetLocs!$B$9:$AAI$9,"") &amp; ""</f>
        <v/>
      </c>
      <c r="AA42" s="7"/>
      <c r="AB42" s="11" t="str">
        <f>_xlfn.XLOOKUP($C42,AssetLocs!$A$1:$AAH$1,AssetLocs!$A$10:$AAH$10,"") &amp; ""</f>
        <v/>
      </c>
      <c r="AC42" s="11" t="str">
        <f>_xlfn.XLOOKUP($C42,AssetLocs!$A$1:$AAH$1,AssetLocs!$B$10:$AAI$10,"") &amp; ""</f>
        <v/>
      </c>
      <c r="AD42" s="8"/>
    </row>
    <row r="43" spans="1:30" x14ac:dyDescent="0.2">
      <c r="A43" t="str" cm="1">
        <f t="array" aca="1" ref="A43" ca="1">INDEX(INDIRECT(VLOOKUP($C$4, RoomLocs!$A$2:$B$35,2,)),ROW()-4,COLUMN()) &amp; ""</f>
        <v>Bin</v>
      </c>
      <c r="B43" t="str" cm="1">
        <f t="array" aca="1" ref="B43" ca="1">INDEX(INDIRECT(VLOOKUP($C$4, RoomLocs!$A$2:$B$35,2,)),ROW()-4,COLUMN()) &amp; ""</f>
        <v>4</v>
      </c>
      <c r="C43" s="8"/>
      <c r="D43" t="str">
        <f>_xlfn.XLOOKUP($C43,AssetLocs!$A$1:$AAH$1,AssetLocs!$A$2:$AAH$2,"") &amp; ""</f>
        <v/>
      </c>
      <c r="E43" t="str">
        <f>_xlfn.XLOOKUP($C43,AssetLocs!$A$1:$AAH$1,AssetLocs!$B$2:$AAI$2,"") &amp; ""</f>
        <v/>
      </c>
      <c r="F43" s="7"/>
      <c r="G43" t="str">
        <f>_xlfn.XLOOKUP($C43,AssetLocs!$A$1:$AAH$1,AssetLocs!$A$3:$AAH$3,"") &amp; ""</f>
        <v/>
      </c>
      <c r="H43" t="str">
        <f>_xlfn.XLOOKUP($C43,AssetLocs!$A$1:$AAH$1,AssetLocs!$B$3:$AAI$3,"") &amp; ""</f>
        <v/>
      </c>
      <c r="I43" s="7"/>
      <c r="J43" t="str">
        <f>_xlfn.XLOOKUP($C43,AssetLocs!$A$1:$AAH$1,AssetLocs!$A$4:$AAH$4,"") &amp; ""</f>
        <v/>
      </c>
      <c r="K43" t="str">
        <f>_xlfn.XLOOKUP($C43,AssetLocs!$A$1:$AAH$1,AssetLocs!$B$4:$AAI$4,"") &amp; ""</f>
        <v/>
      </c>
      <c r="L43" s="7"/>
      <c r="M43" t="str">
        <f>_xlfn.XLOOKUP($C43,AssetLocs!$A$1:$AAH$1,AssetLocs!$A$5:$AAH$5,"") &amp; ""</f>
        <v/>
      </c>
      <c r="N43" t="str">
        <f>_xlfn.XLOOKUP($C43,AssetLocs!$A$1:$AAH$1,AssetLocs!$B$5:$AAI$5,"") &amp; ""</f>
        <v/>
      </c>
      <c r="O43" s="7"/>
      <c r="P43" t="str">
        <f>_xlfn.XLOOKUP($C43,AssetLocs!$A$1:$AAH$1,AssetLocs!$A$6:$AAH$6,"") &amp; ""</f>
        <v/>
      </c>
      <c r="Q43" t="str">
        <f>_xlfn.XLOOKUP($C43,AssetLocs!$A$1:$AAH$1,AssetLocs!$B$6:$AAI$6,"") &amp; ""</f>
        <v/>
      </c>
      <c r="R43" s="7"/>
      <c r="S43" t="str">
        <f>_xlfn.XLOOKUP($C43,AssetLocs!$A$1:$AAH$1,AssetLocs!$A$7:$AAH$7,"") &amp; ""</f>
        <v/>
      </c>
      <c r="T43" t="str">
        <f>_xlfn.XLOOKUP($C43,AssetLocs!$A$1:$AAH$1,AssetLocs!$B$7:$AAI$7,"") &amp; ""</f>
        <v/>
      </c>
      <c r="U43" s="7"/>
      <c r="V43" t="str">
        <f>_xlfn.XLOOKUP($C43,AssetLocs!$A$1:$AAH$1,AssetLocs!$A$8:$AAH$8,"") &amp; ""</f>
        <v/>
      </c>
      <c r="W43" t="str">
        <f>_xlfn.XLOOKUP($C43,AssetLocs!$A$1:$AAH$1,AssetLocs!$B$8:$AAI$8,"") &amp; ""</f>
        <v/>
      </c>
      <c r="X43" s="7"/>
      <c r="Y43" s="11" t="str">
        <f>_xlfn.XLOOKUP($C43,AssetLocs!$A$1:$AAH$1,AssetLocs!$A$9:$AAH$9,"") &amp; ""</f>
        <v/>
      </c>
      <c r="Z43" s="11" t="str">
        <f>_xlfn.XLOOKUP($C43,AssetLocs!$A$1:$AAH$1,AssetLocs!$B$9:$AAI$9,"") &amp; ""</f>
        <v/>
      </c>
      <c r="AA43" s="7"/>
      <c r="AB43" s="11" t="str">
        <f>_xlfn.XLOOKUP($C43,AssetLocs!$A$1:$AAH$1,AssetLocs!$A$10:$AAH$10,"") &amp; ""</f>
        <v/>
      </c>
      <c r="AC43" s="11" t="str">
        <f>_xlfn.XLOOKUP($C43,AssetLocs!$A$1:$AAH$1,AssetLocs!$B$10:$AAI$10,"") &amp; ""</f>
        <v/>
      </c>
      <c r="AD43" s="7"/>
    </row>
    <row r="44" spans="1:30" x14ac:dyDescent="0.2">
      <c r="A44" t="str" cm="1">
        <f t="array" aca="1" ref="A44" ca="1">INDEX(INDIRECT(VLOOKUP($C$4, RoomLocs!$A$2:$B$35,2,)),ROW()-4,COLUMN()) &amp; ""</f>
        <v>Nurse</v>
      </c>
      <c r="B44" t="str" cm="1">
        <f t="array" aca="1" ref="B44" ca="1">INDEX(INDIRECT(VLOOKUP($C$4, RoomLocs!$A$2:$B$35,2,)),ROW()-4,COLUMN()) &amp; ""</f>
        <v>4</v>
      </c>
      <c r="C44" s="8"/>
      <c r="D44" t="str">
        <f>_xlfn.XLOOKUP($C44,AssetLocs!$A$1:$AAH$1,AssetLocs!$A$2:$AAH$2,"") &amp; ""</f>
        <v/>
      </c>
      <c r="E44" t="str">
        <f>_xlfn.XLOOKUP($C44,AssetLocs!$A$1:$AAH$1,AssetLocs!$B$2:$AAI$2,"") &amp; ""</f>
        <v/>
      </c>
      <c r="F44" s="7"/>
      <c r="G44" t="str">
        <f>_xlfn.XLOOKUP($C44,AssetLocs!$A$1:$AAH$1,AssetLocs!$A$3:$AAH$3,"") &amp; ""</f>
        <v/>
      </c>
      <c r="H44" t="str">
        <f>_xlfn.XLOOKUP($C44,AssetLocs!$A$1:$AAH$1,AssetLocs!$B$3:$AAI$3,"") &amp; ""</f>
        <v/>
      </c>
      <c r="I44" s="7"/>
      <c r="J44" t="str">
        <f>_xlfn.XLOOKUP($C44,AssetLocs!$A$1:$AAH$1,AssetLocs!$A$4:$AAH$4,"") &amp; ""</f>
        <v/>
      </c>
      <c r="K44" t="str">
        <f>_xlfn.XLOOKUP($C44,AssetLocs!$A$1:$AAH$1,AssetLocs!$B$4:$AAI$4,"") &amp; ""</f>
        <v/>
      </c>
      <c r="L44" s="7"/>
      <c r="M44" t="str">
        <f>_xlfn.XLOOKUP($C44,AssetLocs!$A$1:$AAH$1,AssetLocs!$A$5:$AAH$5,"") &amp; ""</f>
        <v/>
      </c>
      <c r="N44" t="str">
        <f>_xlfn.XLOOKUP($C44,AssetLocs!$A$1:$AAH$1,AssetLocs!$B$5:$AAI$5,"") &amp; ""</f>
        <v/>
      </c>
      <c r="O44" s="7"/>
      <c r="P44" t="str">
        <f>_xlfn.XLOOKUP($C44,AssetLocs!$A$1:$AAH$1,AssetLocs!$A$6:$AAH$6,"") &amp; ""</f>
        <v/>
      </c>
      <c r="Q44" t="str">
        <f>_xlfn.XLOOKUP($C44,AssetLocs!$A$1:$AAH$1,AssetLocs!$B$6:$AAI$6,"") &amp; ""</f>
        <v/>
      </c>
      <c r="R44" s="7"/>
      <c r="S44" t="str">
        <f>_xlfn.XLOOKUP($C44,AssetLocs!$A$1:$AAH$1,AssetLocs!$A$7:$AAH$7,"") &amp; ""</f>
        <v/>
      </c>
      <c r="T44" t="str">
        <f>_xlfn.XLOOKUP($C44,AssetLocs!$A$1:$AAH$1,AssetLocs!$B$7:$AAI$7,"") &amp; ""</f>
        <v/>
      </c>
      <c r="U44" s="7"/>
      <c r="V44" t="str">
        <f>_xlfn.XLOOKUP($C44,AssetLocs!$A$1:$AAH$1,AssetLocs!$A$8:$AAH$8,"") &amp; ""</f>
        <v/>
      </c>
      <c r="W44" t="str">
        <f>_xlfn.XLOOKUP($C44,AssetLocs!$A$1:$AAH$1,AssetLocs!$B$8:$AAI$8,"") &amp; ""</f>
        <v/>
      </c>
      <c r="X44" s="7"/>
      <c r="Y44" s="11" t="str">
        <f>_xlfn.XLOOKUP($C44,AssetLocs!$A$1:$AAH$1,AssetLocs!$A$9:$AAH$9,"") &amp; ""</f>
        <v/>
      </c>
      <c r="Z44" s="11" t="str">
        <f>_xlfn.XLOOKUP($C44,AssetLocs!$A$1:$AAH$1,AssetLocs!$B$9:$AAI$9,"") &amp; ""</f>
        <v/>
      </c>
      <c r="AA44" s="7"/>
      <c r="AB44" s="11" t="str">
        <f>_xlfn.XLOOKUP($C44,AssetLocs!$A$1:$AAH$1,AssetLocs!$A$10:$AAH$10,"") &amp; ""</f>
        <v/>
      </c>
      <c r="AC44" s="11" t="str">
        <f>_xlfn.XLOOKUP($C44,AssetLocs!$A$1:$AAH$1,AssetLocs!$B$10:$AAI$10,"") &amp; ""</f>
        <v/>
      </c>
      <c r="AD44" s="7"/>
    </row>
    <row r="45" spans="1:30" x14ac:dyDescent="0.2">
      <c r="A45" t="str" cm="1">
        <f t="array" aca="1" ref="A45" ca="1">INDEX(INDIRECT(VLOOKUP($C$4, RoomLocs!$A$2:$B$35,2,)),ROW()-4,COLUMN()) &amp; ""</f>
        <v>Bed</v>
      </c>
      <c r="B45" t="str" cm="1">
        <f t="array" aca="1" ref="B45" ca="1">INDEX(INDIRECT(VLOOKUP($C$4, RoomLocs!$A$2:$B$35,2,)),ROW()-4,COLUMN()) &amp; ""</f>
        <v>5</v>
      </c>
      <c r="C45" s="8"/>
      <c r="D45" t="str">
        <f>_xlfn.XLOOKUP($C45,AssetLocs!$A$1:$AAH$1,AssetLocs!$A$2:$AAH$2,"") &amp; ""</f>
        <v/>
      </c>
      <c r="E45" t="str">
        <f>_xlfn.XLOOKUP($C45,AssetLocs!$A$1:$AAH$1,AssetLocs!$B$2:$AAI$2,"") &amp; ""</f>
        <v/>
      </c>
      <c r="F45" s="7"/>
      <c r="G45" t="str">
        <f>_xlfn.XLOOKUP($C45,AssetLocs!$A$1:$AAH$1,AssetLocs!$A$3:$AAH$3,"") &amp; ""</f>
        <v/>
      </c>
      <c r="H45" t="str">
        <f>_xlfn.XLOOKUP($C45,AssetLocs!$A$1:$AAH$1,AssetLocs!$B$3:$AAI$3,"") &amp; ""</f>
        <v/>
      </c>
      <c r="I45" s="7"/>
      <c r="J45" t="str">
        <f>_xlfn.XLOOKUP($C45,AssetLocs!$A$1:$AAH$1,AssetLocs!$A$4:$AAH$4,"") &amp; ""</f>
        <v/>
      </c>
      <c r="K45" t="str">
        <f>_xlfn.XLOOKUP($C45,AssetLocs!$A$1:$AAH$1,AssetLocs!$B$4:$AAI$4,"") &amp; ""</f>
        <v/>
      </c>
      <c r="L45" s="7"/>
      <c r="M45" t="str">
        <f>_xlfn.XLOOKUP($C45,AssetLocs!$A$1:$AAH$1,AssetLocs!$A$5:$AAH$5,"") &amp; ""</f>
        <v/>
      </c>
      <c r="N45" t="str">
        <f>_xlfn.XLOOKUP($C45,AssetLocs!$A$1:$AAH$1,AssetLocs!$B$5:$AAI$5,"") &amp; ""</f>
        <v/>
      </c>
      <c r="O45" s="7"/>
      <c r="P45" t="str">
        <f>_xlfn.XLOOKUP($C45,AssetLocs!$A$1:$AAH$1,AssetLocs!$A$6:$AAH$6,"") &amp; ""</f>
        <v/>
      </c>
      <c r="Q45" t="str">
        <f>_xlfn.XLOOKUP($C45,AssetLocs!$A$1:$AAH$1,AssetLocs!$B$6:$AAI$6,"") &amp; ""</f>
        <v/>
      </c>
      <c r="R45" s="7"/>
      <c r="S45" t="str">
        <f>_xlfn.XLOOKUP($C45,AssetLocs!$A$1:$AAH$1,AssetLocs!$A$7:$AAH$7,"") &amp; ""</f>
        <v/>
      </c>
      <c r="T45" t="str">
        <f>_xlfn.XLOOKUP($C45,AssetLocs!$A$1:$AAH$1,AssetLocs!$B$7:$AAI$7,"") &amp; ""</f>
        <v/>
      </c>
      <c r="U45" s="7"/>
      <c r="V45" t="str">
        <f>_xlfn.XLOOKUP($C45,AssetLocs!$A$1:$AAH$1,AssetLocs!$A$8:$AAH$8,"") &amp; ""</f>
        <v/>
      </c>
      <c r="W45" t="str">
        <f>_xlfn.XLOOKUP($C45,AssetLocs!$A$1:$AAH$1,AssetLocs!$B$8:$AAI$8,"") &amp; ""</f>
        <v/>
      </c>
      <c r="X45" s="7"/>
      <c r="Y45" s="11" t="str">
        <f>_xlfn.XLOOKUP($C45,AssetLocs!$A$1:$AAH$1,AssetLocs!$A$9:$AAH$9,"") &amp; ""</f>
        <v/>
      </c>
      <c r="Z45" s="11" t="str">
        <f>_xlfn.XLOOKUP($C45,AssetLocs!$A$1:$AAH$1,AssetLocs!$B$9:$AAI$9,"") &amp; ""</f>
        <v/>
      </c>
      <c r="AA45" s="7"/>
      <c r="AB45" s="11" t="str">
        <f>_xlfn.XLOOKUP($C45,AssetLocs!$A$1:$AAH$1,AssetLocs!$A$10:$AAH$10,"") &amp; ""</f>
        <v/>
      </c>
      <c r="AC45" s="11" t="str">
        <f>_xlfn.XLOOKUP($C45,AssetLocs!$A$1:$AAH$1,AssetLocs!$B$10:$AAI$10,"") &amp; ""</f>
        <v/>
      </c>
      <c r="AD45" s="7"/>
    </row>
    <row r="46" spans="1:30" x14ac:dyDescent="0.2">
      <c r="A46" t="str" cm="1">
        <f t="array" aca="1" ref="A46" ca="1">INDEX(INDIRECT(VLOOKUP($C$4, RoomLocs!$A$2:$B$35,2,)),ROW()-4,COLUMN()) &amp; ""</f>
        <v>Wall</v>
      </c>
      <c r="B46" t="str" cm="1">
        <f t="array" aca="1" ref="B46" ca="1">INDEX(INDIRECT(VLOOKUP($C$4, RoomLocs!$A$2:$B$35,2,)),ROW()-4,COLUMN()) &amp; ""</f>
        <v>5</v>
      </c>
      <c r="C46" s="8"/>
      <c r="D46" t="str">
        <f>_xlfn.XLOOKUP($C46,AssetLocs!$A$1:$AAH$1,AssetLocs!$A$2:$AAH$2,"") &amp; ""</f>
        <v/>
      </c>
      <c r="E46" t="str">
        <f>_xlfn.XLOOKUP($C46,AssetLocs!$A$1:$AAH$1,AssetLocs!$B$2:$AAI$2,"") &amp; ""</f>
        <v/>
      </c>
      <c r="F46" s="7"/>
      <c r="G46" t="str">
        <f>_xlfn.XLOOKUP($C46,AssetLocs!$A$1:$AAH$1,AssetLocs!$A$3:$AAH$3,"") &amp; ""</f>
        <v/>
      </c>
      <c r="H46" t="str">
        <f>_xlfn.XLOOKUP($C46,AssetLocs!$A$1:$AAH$1,AssetLocs!$B$3:$AAI$3,"") &amp; ""</f>
        <v/>
      </c>
      <c r="I46" s="7"/>
      <c r="J46" t="str">
        <f>_xlfn.XLOOKUP($C46,AssetLocs!$A$1:$AAH$1,AssetLocs!$A$4:$AAH$4,"") &amp; ""</f>
        <v/>
      </c>
      <c r="K46" t="str">
        <f>_xlfn.XLOOKUP($C46,AssetLocs!$A$1:$AAH$1,AssetLocs!$B$4:$AAI$4,"") &amp; ""</f>
        <v/>
      </c>
      <c r="L46" s="7"/>
      <c r="M46" t="str">
        <f>_xlfn.XLOOKUP($C46,AssetLocs!$A$1:$AAH$1,AssetLocs!$A$5:$AAH$5,"") &amp; ""</f>
        <v/>
      </c>
      <c r="N46" t="str">
        <f>_xlfn.XLOOKUP($C46,AssetLocs!$A$1:$AAH$1,AssetLocs!$B$5:$AAI$5,"") &amp; ""</f>
        <v/>
      </c>
      <c r="O46" s="7"/>
      <c r="P46" t="str">
        <f>_xlfn.XLOOKUP($C46,AssetLocs!$A$1:$AAH$1,AssetLocs!$A$6:$AAH$6,"") &amp; ""</f>
        <v/>
      </c>
      <c r="Q46" t="str">
        <f>_xlfn.XLOOKUP($C46,AssetLocs!$A$1:$AAH$1,AssetLocs!$B$6:$AAI$6,"") &amp; ""</f>
        <v/>
      </c>
      <c r="R46" s="7"/>
      <c r="S46" t="str">
        <f>_xlfn.XLOOKUP($C46,AssetLocs!$A$1:$AAH$1,AssetLocs!$A$7:$AAH$7,"") &amp; ""</f>
        <v/>
      </c>
      <c r="T46" t="str">
        <f>_xlfn.XLOOKUP($C46,AssetLocs!$A$1:$AAH$1,AssetLocs!$B$7:$AAI$7,"") &amp; ""</f>
        <v/>
      </c>
      <c r="U46" s="7"/>
      <c r="V46" t="str">
        <f>_xlfn.XLOOKUP($C46,AssetLocs!$A$1:$AAH$1,AssetLocs!$A$8:$AAH$8,"") &amp; ""</f>
        <v/>
      </c>
      <c r="W46" t="str">
        <f>_xlfn.XLOOKUP($C46,AssetLocs!$A$1:$AAH$1,AssetLocs!$B$8:$AAI$8,"") &amp; ""</f>
        <v/>
      </c>
      <c r="X46" s="7"/>
      <c r="Y46" s="11" t="str">
        <f>_xlfn.XLOOKUP($C46,AssetLocs!$A$1:$AAH$1,AssetLocs!$A$9:$AAH$9,"") &amp; ""</f>
        <v/>
      </c>
      <c r="Z46" s="11" t="str">
        <f>_xlfn.XLOOKUP($C46,AssetLocs!$A$1:$AAH$1,AssetLocs!$B$9:$AAI$9,"") &amp; ""</f>
        <v/>
      </c>
      <c r="AA46" s="7"/>
      <c r="AB46" s="11" t="str">
        <f>_xlfn.XLOOKUP($C46,AssetLocs!$A$1:$AAH$1,AssetLocs!$A$10:$AAH$10,"") &amp; ""</f>
        <v/>
      </c>
      <c r="AC46" s="11" t="str">
        <f>_xlfn.XLOOKUP($C46,AssetLocs!$A$1:$AAH$1,AssetLocs!$B$10:$AAI$10,"") &amp; ""</f>
        <v/>
      </c>
      <c r="AD46" s="7"/>
    </row>
    <row r="47" spans="1:30" x14ac:dyDescent="0.2">
      <c r="A47" t="str" cm="1">
        <f t="array" aca="1" ref="A47" ca="1">INDEX(INDIRECT(VLOOKUP($C$4, RoomLocs!$A$2:$B$35,2,)),ROW()-4,COLUMN()) &amp; ""</f>
        <v>BedsideHead</v>
      </c>
      <c r="B47" t="str" cm="1">
        <f t="array" aca="1" ref="B47" ca="1">INDEX(INDIRECT(VLOOKUP($C$4, RoomLocs!$A$2:$B$35,2,)),ROW()-4,COLUMN()) &amp; ""</f>
        <v>5</v>
      </c>
      <c r="C47" s="8"/>
      <c r="D47" t="str">
        <f>_xlfn.XLOOKUP($C47,AssetLocs!$A$1:$AAH$1,AssetLocs!$A$2:$AAH$2,"") &amp; ""</f>
        <v/>
      </c>
      <c r="E47" t="str">
        <f>_xlfn.XLOOKUP($C47,AssetLocs!$A$1:$AAH$1,AssetLocs!$B$2:$AAI$2,"") &amp; ""</f>
        <v/>
      </c>
      <c r="F47" s="7"/>
      <c r="G47" t="str">
        <f>_xlfn.XLOOKUP($C47,AssetLocs!$A$1:$AAH$1,AssetLocs!$A$3:$AAH$3,"") &amp; ""</f>
        <v/>
      </c>
      <c r="H47" t="str">
        <f>_xlfn.XLOOKUP($C47,AssetLocs!$A$1:$AAH$1,AssetLocs!$B$3:$AAI$3,"") &amp; ""</f>
        <v/>
      </c>
      <c r="I47" s="7"/>
      <c r="J47" t="str">
        <f>_xlfn.XLOOKUP($C47,AssetLocs!$A$1:$AAH$1,AssetLocs!$A$4:$AAH$4,"") &amp; ""</f>
        <v/>
      </c>
      <c r="K47" t="str">
        <f>_xlfn.XLOOKUP($C47,AssetLocs!$A$1:$AAH$1,AssetLocs!$B$4:$AAI$4,"") &amp; ""</f>
        <v/>
      </c>
      <c r="L47" s="7"/>
      <c r="M47" t="str">
        <f>_xlfn.XLOOKUP($C47,AssetLocs!$A$1:$AAH$1,AssetLocs!$A$5:$AAH$5,"") &amp; ""</f>
        <v/>
      </c>
      <c r="N47" t="str">
        <f>_xlfn.XLOOKUP($C47,AssetLocs!$A$1:$AAH$1,AssetLocs!$B$5:$AAI$5,"") &amp; ""</f>
        <v/>
      </c>
      <c r="O47" s="7"/>
      <c r="P47" t="str">
        <f>_xlfn.XLOOKUP($C47,AssetLocs!$A$1:$AAH$1,AssetLocs!$A$6:$AAH$6,"") &amp; ""</f>
        <v/>
      </c>
      <c r="Q47" t="str">
        <f>_xlfn.XLOOKUP($C47,AssetLocs!$A$1:$AAH$1,AssetLocs!$B$6:$AAI$6,"") &amp; ""</f>
        <v/>
      </c>
      <c r="R47" s="7"/>
      <c r="S47" t="str">
        <f>_xlfn.XLOOKUP($C47,AssetLocs!$A$1:$AAH$1,AssetLocs!$A$7:$AAH$7,"") &amp; ""</f>
        <v/>
      </c>
      <c r="T47" t="str">
        <f>_xlfn.XLOOKUP($C47,AssetLocs!$A$1:$AAH$1,AssetLocs!$B$7:$AAI$7,"") &amp; ""</f>
        <v/>
      </c>
      <c r="U47" s="7"/>
      <c r="V47" t="str">
        <f>_xlfn.XLOOKUP($C47,AssetLocs!$A$1:$AAH$1,AssetLocs!$A$8:$AAH$8,"") &amp; ""</f>
        <v/>
      </c>
      <c r="W47" t="str">
        <f>_xlfn.XLOOKUP($C47,AssetLocs!$A$1:$AAH$1,AssetLocs!$B$8:$AAI$8,"") &amp; ""</f>
        <v/>
      </c>
      <c r="X47" s="7"/>
      <c r="Y47" s="11" t="str">
        <f>_xlfn.XLOOKUP($C47,AssetLocs!$A$1:$AAH$1,AssetLocs!$A$9:$AAH$9,"") &amp; ""</f>
        <v/>
      </c>
      <c r="Z47" s="11" t="str">
        <f>_xlfn.XLOOKUP($C47,AssetLocs!$A$1:$AAH$1,AssetLocs!$B$9:$AAI$9,"") &amp; ""</f>
        <v/>
      </c>
      <c r="AA47" s="7"/>
      <c r="AB47" s="11" t="str">
        <f>_xlfn.XLOOKUP($C47,AssetLocs!$A$1:$AAH$1,AssetLocs!$A$10:$AAH$10,"") &amp; ""</f>
        <v/>
      </c>
      <c r="AC47" s="11" t="str">
        <f>_xlfn.XLOOKUP($C47,AssetLocs!$A$1:$AAH$1,AssetLocs!$B$10:$AAI$10,"") &amp; ""</f>
        <v/>
      </c>
      <c r="AD47" s="7"/>
    </row>
    <row r="48" spans="1:30" x14ac:dyDescent="0.2">
      <c r="A48" t="str" cm="1">
        <f t="array" aca="1" ref="A48" ca="1">INDEX(INDIRECT(VLOOKUP($C$4, RoomLocs!$A$2:$B$35,2,)),ROW()-4,COLUMN()) &amp; ""</f>
        <v>BedsideHeadLeft</v>
      </c>
      <c r="B48" t="str" cm="1">
        <f t="array" aca="1" ref="B48" ca="1">INDEX(INDIRECT(VLOOKUP($C$4, RoomLocs!$A$2:$B$35,2,)),ROW()-4,COLUMN()) &amp; ""</f>
        <v>5</v>
      </c>
      <c r="C48" s="8"/>
      <c r="D48" t="str">
        <f>_xlfn.XLOOKUP($C48,AssetLocs!$A$1:$AAH$1,AssetLocs!$A$2:$AAH$2,"") &amp; ""</f>
        <v/>
      </c>
      <c r="E48" t="str">
        <f>_xlfn.XLOOKUP($C48,AssetLocs!$A$1:$AAH$1,AssetLocs!$B$2:$AAI$2,"") &amp; ""</f>
        <v/>
      </c>
      <c r="F48" s="7"/>
      <c r="G48" t="str">
        <f>_xlfn.XLOOKUP($C48,AssetLocs!$A$1:$AAH$1,AssetLocs!$A$3:$AAH$3,"") &amp; ""</f>
        <v/>
      </c>
      <c r="H48" t="str">
        <f>_xlfn.XLOOKUP($C48,AssetLocs!$A$1:$AAH$1,AssetLocs!$B$3:$AAI$3,"") &amp; ""</f>
        <v/>
      </c>
      <c r="I48" s="7"/>
      <c r="J48" t="str">
        <f>_xlfn.XLOOKUP($C48,AssetLocs!$A$1:$AAH$1,AssetLocs!$A$4:$AAH$4,"") &amp; ""</f>
        <v/>
      </c>
      <c r="K48" t="str">
        <f>_xlfn.XLOOKUP($C48,AssetLocs!$A$1:$AAH$1,AssetLocs!$B$4:$AAI$4,"") &amp; ""</f>
        <v/>
      </c>
      <c r="L48" s="7"/>
      <c r="M48" t="str">
        <f>_xlfn.XLOOKUP($C48,AssetLocs!$A$1:$AAH$1,AssetLocs!$A$5:$AAH$5,"") &amp; ""</f>
        <v/>
      </c>
      <c r="N48" t="str">
        <f>_xlfn.XLOOKUP($C48,AssetLocs!$A$1:$AAH$1,AssetLocs!$B$5:$AAI$5,"") &amp; ""</f>
        <v/>
      </c>
      <c r="O48" s="7"/>
      <c r="P48" t="str">
        <f>_xlfn.XLOOKUP($C48,AssetLocs!$A$1:$AAH$1,AssetLocs!$A$6:$AAH$6,"") &amp; ""</f>
        <v/>
      </c>
      <c r="Q48" t="str">
        <f>_xlfn.XLOOKUP($C48,AssetLocs!$A$1:$AAH$1,AssetLocs!$B$6:$AAI$6,"") &amp; ""</f>
        <v/>
      </c>
      <c r="R48" s="7"/>
      <c r="S48" t="str">
        <f>_xlfn.XLOOKUP($C48,AssetLocs!$A$1:$AAH$1,AssetLocs!$A$7:$AAH$7,"") &amp; ""</f>
        <v/>
      </c>
      <c r="T48" t="str">
        <f>_xlfn.XLOOKUP($C48,AssetLocs!$A$1:$AAH$1,AssetLocs!$B$7:$AAI$7,"") &amp; ""</f>
        <v/>
      </c>
      <c r="U48" s="7"/>
      <c r="V48" t="str">
        <f>_xlfn.XLOOKUP($C48,AssetLocs!$A$1:$AAH$1,AssetLocs!$A$8:$AAH$8,"") &amp; ""</f>
        <v/>
      </c>
      <c r="W48" t="str">
        <f>_xlfn.XLOOKUP($C48,AssetLocs!$A$1:$AAH$1,AssetLocs!$B$8:$AAI$8,"") &amp; ""</f>
        <v/>
      </c>
      <c r="X48" s="7"/>
      <c r="Y48" s="11" t="str">
        <f>_xlfn.XLOOKUP($C48,AssetLocs!$A$1:$AAH$1,AssetLocs!$A$9:$AAH$9,"") &amp; ""</f>
        <v/>
      </c>
      <c r="Z48" s="11" t="str">
        <f>_xlfn.XLOOKUP($C48,AssetLocs!$A$1:$AAH$1,AssetLocs!$B$9:$AAI$9,"") &amp; ""</f>
        <v/>
      </c>
      <c r="AA48" s="7"/>
      <c r="AB48" s="11" t="str">
        <f>_xlfn.XLOOKUP($C48,AssetLocs!$A$1:$AAH$1,AssetLocs!$A$10:$AAH$10,"") &amp; ""</f>
        <v/>
      </c>
      <c r="AC48" s="11" t="str">
        <f>_xlfn.XLOOKUP($C48,AssetLocs!$A$1:$AAH$1,AssetLocs!$B$10:$AAI$10,"") &amp; ""</f>
        <v/>
      </c>
      <c r="AD48" s="7"/>
    </row>
    <row r="49" spans="1:30" x14ac:dyDescent="0.2">
      <c r="A49" t="str" cm="1">
        <f t="array" aca="1" ref="A49" ca="1">INDEX(INDIRECT(VLOOKUP($C$4, RoomLocs!$A$2:$B$35,2,)),ROW()-4,COLUMN()) &amp; ""</f>
        <v>BedsideMid</v>
      </c>
      <c r="B49" t="str" cm="1">
        <f t="array" aca="1" ref="B49" ca="1">INDEX(INDIRECT(VLOOKUP($C$4, RoomLocs!$A$2:$B$35,2,)),ROW()-4,COLUMN()) &amp; ""</f>
        <v>5</v>
      </c>
      <c r="C49" s="8"/>
      <c r="D49" t="str">
        <f>_xlfn.XLOOKUP($C49,AssetLocs!$A$1:$AAH$1,AssetLocs!$A$2:$AAH$2,"") &amp; ""</f>
        <v/>
      </c>
      <c r="E49" t="str">
        <f>_xlfn.XLOOKUP($C49,AssetLocs!$A$1:$AAH$1,AssetLocs!$B$2:$AAI$2,"") &amp; ""</f>
        <v/>
      </c>
      <c r="F49" s="7"/>
      <c r="G49" t="str">
        <f>_xlfn.XLOOKUP($C49,AssetLocs!$A$1:$AAH$1,AssetLocs!$A$3:$AAH$3,"") &amp; ""</f>
        <v/>
      </c>
      <c r="H49" t="str">
        <f>_xlfn.XLOOKUP($C49,AssetLocs!$A$1:$AAH$1,AssetLocs!$B$3:$AAI$3,"") &amp; ""</f>
        <v/>
      </c>
      <c r="I49" s="7"/>
      <c r="J49" t="str">
        <f>_xlfn.XLOOKUP($C49,AssetLocs!$A$1:$AAH$1,AssetLocs!$A$4:$AAH$4,"") &amp; ""</f>
        <v/>
      </c>
      <c r="K49" t="str">
        <f>_xlfn.XLOOKUP($C49,AssetLocs!$A$1:$AAH$1,AssetLocs!$B$4:$AAI$4,"") &amp; ""</f>
        <v/>
      </c>
      <c r="L49" s="7"/>
      <c r="M49" t="str">
        <f>_xlfn.XLOOKUP($C49,AssetLocs!$A$1:$AAH$1,AssetLocs!$A$5:$AAH$5,"") &amp; ""</f>
        <v/>
      </c>
      <c r="N49" t="str">
        <f>_xlfn.XLOOKUP($C49,AssetLocs!$A$1:$AAH$1,AssetLocs!$B$5:$AAI$5,"") &amp; ""</f>
        <v/>
      </c>
      <c r="O49" s="7"/>
      <c r="P49" t="str">
        <f>_xlfn.XLOOKUP($C49,AssetLocs!$A$1:$AAH$1,AssetLocs!$A$6:$AAH$6,"") &amp; ""</f>
        <v/>
      </c>
      <c r="Q49" t="str">
        <f>_xlfn.XLOOKUP($C49,AssetLocs!$A$1:$AAH$1,AssetLocs!$B$6:$AAI$6,"") &amp; ""</f>
        <v/>
      </c>
      <c r="R49" s="7"/>
      <c r="S49" t="str">
        <f>_xlfn.XLOOKUP($C49,AssetLocs!$A$1:$AAH$1,AssetLocs!$A$7:$AAH$7,"") &amp; ""</f>
        <v/>
      </c>
      <c r="T49" t="str">
        <f>_xlfn.XLOOKUP($C49,AssetLocs!$A$1:$AAH$1,AssetLocs!$B$7:$AAI$7,"") &amp; ""</f>
        <v/>
      </c>
      <c r="U49" s="7"/>
      <c r="V49" t="str">
        <f>_xlfn.XLOOKUP($C49,AssetLocs!$A$1:$AAH$1,AssetLocs!$A$8:$AAH$8,"") &amp; ""</f>
        <v/>
      </c>
      <c r="W49" t="str">
        <f>_xlfn.XLOOKUP($C49,AssetLocs!$A$1:$AAH$1,AssetLocs!$B$8:$AAI$8,"") &amp; ""</f>
        <v/>
      </c>
      <c r="X49" s="7"/>
      <c r="Y49" s="11" t="str">
        <f>_xlfn.XLOOKUP($C49,AssetLocs!$A$1:$AAH$1,AssetLocs!$A$9:$AAH$9,"") &amp; ""</f>
        <v/>
      </c>
      <c r="Z49" s="11" t="str">
        <f>_xlfn.XLOOKUP($C49,AssetLocs!$A$1:$AAH$1,AssetLocs!$B$9:$AAI$9,"") &amp; ""</f>
        <v/>
      </c>
      <c r="AA49" s="7"/>
      <c r="AB49" s="11" t="str">
        <f>_xlfn.XLOOKUP($C49,AssetLocs!$A$1:$AAH$1,AssetLocs!$A$10:$AAH$10,"") &amp; ""</f>
        <v/>
      </c>
      <c r="AC49" s="11" t="str">
        <f>_xlfn.XLOOKUP($C49,AssetLocs!$A$1:$AAH$1,AssetLocs!$B$10:$AAI$10,"") &amp; ""</f>
        <v/>
      </c>
      <c r="AD49" s="7"/>
    </row>
    <row r="50" spans="1:30" x14ac:dyDescent="0.2">
      <c r="A50" t="str" cm="1">
        <f t="array" aca="1" ref="A50" ca="1">INDEX(INDIRECT(VLOOKUP($C$4, RoomLocs!$A$2:$B$35,2,)),ROW()-4,COLUMN()) &amp; ""</f>
        <v>BedsideFoot</v>
      </c>
      <c r="B50" t="str" cm="1">
        <f t="array" aca="1" ref="B50" ca="1">INDEX(INDIRECT(VLOOKUP($C$4, RoomLocs!$A$2:$B$35,2,)),ROW()-4,COLUMN()) &amp; ""</f>
        <v>5</v>
      </c>
      <c r="C50" s="8"/>
      <c r="D50" t="str">
        <f>_xlfn.XLOOKUP($C50,AssetLocs!$A$1:$AAH$1,AssetLocs!$A$2:$AAH$2,"") &amp; ""</f>
        <v/>
      </c>
      <c r="E50" t="str">
        <f>_xlfn.XLOOKUP($C50,AssetLocs!$A$1:$AAH$1,AssetLocs!$B$2:$AAI$2,"") &amp; ""</f>
        <v/>
      </c>
      <c r="F50" s="7"/>
      <c r="G50" t="str">
        <f>_xlfn.XLOOKUP($C50,AssetLocs!$A$1:$AAH$1,AssetLocs!$A$3:$AAH$3,"") &amp; ""</f>
        <v/>
      </c>
      <c r="H50" t="str">
        <f>_xlfn.XLOOKUP($C50,AssetLocs!$A$1:$AAH$1,AssetLocs!$B$3:$AAI$3,"") &amp; ""</f>
        <v/>
      </c>
      <c r="I50" s="7"/>
      <c r="J50" t="str">
        <f>_xlfn.XLOOKUP($C50,AssetLocs!$A$1:$AAH$1,AssetLocs!$A$4:$AAH$4,"") &amp; ""</f>
        <v/>
      </c>
      <c r="K50" t="str">
        <f>_xlfn.XLOOKUP($C50,AssetLocs!$A$1:$AAH$1,AssetLocs!$B$4:$AAI$4,"") &amp; ""</f>
        <v/>
      </c>
      <c r="L50" s="7"/>
      <c r="M50" t="str">
        <f>_xlfn.XLOOKUP($C50,AssetLocs!$A$1:$AAH$1,AssetLocs!$A$5:$AAH$5,"") &amp; ""</f>
        <v/>
      </c>
      <c r="N50" t="str">
        <f>_xlfn.XLOOKUP($C50,AssetLocs!$A$1:$AAH$1,AssetLocs!$B$5:$AAI$5,"") &amp; ""</f>
        <v/>
      </c>
      <c r="O50" s="7"/>
      <c r="P50" t="str">
        <f>_xlfn.XLOOKUP($C50,AssetLocs!$A$1:$AAH$1,AssetLocs!$A$6:$AAH$6,"") &amp; ""</f>
        <v/>
      </c>
      <c r="Q50" t="str">
        <f>_xlfn.XLOOKUP($C50,AssetLocs!$A$1:$AAH$1,AssetLocs!$B$6:$AAI$6,"") &amp; ""</f>
        <v/>
      </c>
      <c r="R50" s="7"/>
      <c r="S50" t="str">
        <f>_xlfn.XLOOKUP($C50,AssetLocs!$A$1:$AAH$1,AssetLocs!$A$7:$AAH$7,"") &amp; ""</f>
        <v/>
      </c>
      <c r="T50" t="str">
        <f>_xlfn.XLOOKUP($C50,AssetLocs!$A$1:$AAH$1,AssetLocs!$B$7:$AAI$7,"") &amp; ""</f>
        <v/>
      </c>
      <c r="U50" s="7"/>
      <c r="V50" t="str">
        <f>_xlfn.XLOOKUP($C50,AssetLocs!$A$1:$AAH$1,AssetLocs!$A$8:$AAH$8,"") &amp; ""</f>
        <v/>
      </c>
      <c r="W50" t="str">
        <f>_xlfn.XLOOKUP($C50,AssetLocs!$A$1:$AAH$1,AssetLocs!$B$8:$AAI$8,"") &amp; ""</f>
        <v/>
      </c>
      <c r="X50" s="7"/>
      <c r="Y50" s="11" t="str">
        <f>_xlfn.XLOOKUP($C50,AssetLocs!$A$1:$AAH$1,AssetLocs!$A$9:$AAH$9,"") &amp; ""</f>
        <v/>
      </c>
      <c r="Z50" s="11" t="str">
        <f>_xlfn.XLOOKUP($C50,AssetLocs!$A$1:$AAH$1,AssetLocs!$B$9:$AAI$9,"") &amp; ""</f>
        <v/>
      </c>
      <c r="AA50" s="7"/>
      <c r="AB50" s="11" t="str">
        <f>_xlfn.XLOOKUP($C50,AssetLocs!$A$1:$AAH$1,AssetLocs!$A$10:$AAH$10,"") &amp; ""</f>
        <v/>
      </c>
      <c r="AC50" s="11" t="str">
        <f>_xlfn.XLOOKUP($C50,AssetLocs!$A$1:$AAH$1,AssetLocs!$B$10:$AAI$10,"") &amp; ""</f>
        <v/>
      </c>
      <c r="AD50" s="7"/>
    </row>
    <row r="51" spans="1:30" x14ac:dyDescent="0.2">
      <c r="A51" t="str" cm="1">
        <f t="array" aca="1" ref="A51" ca="1">INDEX(INDIRECT(VLOOKUP($C$4, RoomLocs!$A$2:$B$35,2,)),ROW()-4,COLUMN()) &amp; ""</f>
        <v>Desk</v>
      </c>
      <c r="B51" t="str" cm="1">
        <f t="array" aca="1" ref="B51" ca="1">INDEX(INDIRECT(VLOOKUP($C$4, RoomLocs!$A$2:$B$35,2,)),ROW()-4,COLUMN()) &amp; ""</f>
        <v>5</v>
      </c>
      <c r="C51" s="8"/>
      <c r="D51" t="str">
        <f>_xlfn.XLOOKUP($C51,AssetLocs!$A$1:$AAH$1,AssetLocs!$A$2:$AAH$2,"") &amp; ""</f>
        <v/>
      </c>
      <c r="E51" t="str">
        <f>_xlfn.XLOOKUP($C51,AssetLocs!$A$1:$AAH$1,AssetLocs!$B$2:$AAI$2,"") &amp; ""</f>
        <v/>
      </c>
      <c r="F51" s="7"/>
      <c r="G51" t="str">
        <f>_xlfn.XLOOKUP($C51,AssetLocs!$A$1:$AAH$1,AssetLocs!$A$3:$AAH$3,"") &amp; ""</f>
        <v/>
      </c>
      <c r="H51" t="str">
        <f>_xlfn.XLOOKUP($C51,AssetLocs!$A$1:$AAH$1,AssetLocs!$B$3:$AAI$3,"") &amp; ""</f>
        <v/>
      </c>
      <c r="I51" s="7"/>
      <c r="J51" t="str">
        <f>_xlfn.XLOOKUP($C51,AssetLocs!$A$1:$AAH$1,AssetLocs!$A$4:$AAH$4,"") &amp; ""</f>
        <v/>
      </c>
      <c r="K51" t="str">
        <f>_xlfn.XLOOKUP($C51,AssetLocs!$A$1:$AAH$1,AssetLocs!$B$4:$AAI$4,"") &amp; ""</f>
        <v/>
      </c>
      <c r="L51" s="7"/>
      <c r="M51" t="str">
        <f>_xlfn.XLOOKUP($C51,AssetLocs!$A$1:$AAH$1,AssetLocs!$A$5:$AAH$5,"") &amp; ""</f>
        <v/>
      </c>
      <c r="N51" t="str">
        <f>_xlfn.XLOOKUP($C51,AssetLocs!$A$1:$AAH$1,AssetLocs!$B$5:$AAI$5,"") &amp; ""</f>
        <v/>
      </c>
      <c r="O51" s="7"/>
      <c r="P51" t="str">
        <f>_xlfn.XLOOKUP($C51,AssetLocs!$A$1:$AAH$1,AssetLocs!$A$6:$AAH$6,"") &amp; ""</f>
        <v/>
      </c>
      <c r="Q51" t="str">
        <f>_xlfn.XLOOKUP($C51,AssetLocs!$A$1:$AAH$1,AssetLocs!$B$6:$AAI$6,"") &amp; ""</f>
        <v/>
      </c>
      <c r="R51" s="7"/>
      <c r="S51" t="str">
        <f>_xlfn.XLOOKUP($C51,AssetLocs!$A$1:$AAH$1,AssetLocs!$A$7:$AAH$7,"") &amp; ""</f>
        <v/>
      </c>
      <c r="T51" t="str">
        <f>_xlfn.XLOOKUP($C51,AssetLocs!$A$1:$AAH$1,AssetLocs!$B$7:$AAI$7,"") &amp; ""</f>
        <v/>
      </c>
      <c r="U51" s="7"/>
      <c r="V51" t="str">
        <f>_xlfn.XLOOKUP($C51,AssetLocs!$A$1:$AAH$1,AssetLocs!$A$8:$AAH$8,"") &amp; ""</f>
        <v/>
      </c>
      <c r="W51" t="str">
        <f>_xlfn.XLOOKUP($C51,AssetLocs!$A$1:$AAH$1,AssetLocs!$B$8:$AAI$8,"") &amp; ""</f>
        <v/>
      </c>
      <c r="X51" s="7"/>
      <c r="Y51" s="11" t="str">
        <f>_xlfn.XLOOKUP($C51,AssetLocs!$A$1:$AAH$1,AssetLocs!$A$9:$AAH$9,"") &amp; ""</f>
        <v/>
      </c>
      <c r="Z51" s="11" t="str">
        <f>_xlfn.XLOOKUP($C51,AssetLocs!$A$1:$AAH$1,AssetLocs!$B$9:$AAI$9,"") &amp; ""</f>
        <v/>
      </c>
      <c r="AA51" s="7"/>
      <c r="AB51" s="11" t="str">
        <f>_xlfn.XLOOKUP($C51,AssetLocs!$A$1:$AAH$1,AssetLocs!$A$10:$AAH$10,"") &amp; ""</f>
        <v/>
      </c>
      <c r="AC51" s="11" t="str">
        <f>_xlfn.XLOOKUP($C51,AssetLocs!$A$1:$AAH$1,AssetLocs!$B$10:$AAI$10,"") &amp; ""</f>
        <v/>
      </c>
      <c r="AD51" s="7"/>
    </row>
    <row r="52" spans="1:30" x14ac:dyDescent="0.2">
      <c r="A52" t="str" cm="1">
        <f t="array" aca="1" ref="A52" ca="1">INDEX(INDIRECT(VLOOKUP($C$4, RoomLocs!$A$2:$B$35,2,)),ROW()-4,COLUMN()) &amp; ""</f>
        <v>Cart</v>
      </c>
      <c r="B52" t="str" cm="1">
        <f t="array" aca="1" ref="B52" ca="1">INDEX(INDIRECT(VLOOKUP($C$4, RoomLocs!$A$2:$B$35,2,)),ROW()-4,COLUMN()) &amp; ""</f>
        <v>5</v>
      </c>
      <c r="C52" s="8"/>
      <c r="D52" t="str">
        <f>_xlfn.XLOOKUP($C52,AssetLocs!$A$1:$AAH$1,AssetLocs!$A$2:$AAH$2,"") &amp; ""</f>
        <v/>
      </c>
      <c r="E52" t="str">
        <f>_xlfn.XLOOKUP($C52,AssetLocs!$A$1:$AAH$1,AssetLocs!$B$2:$AAI$2,"") &amp; ""</f>
        <v/>
      </c>
      <c r="F52" s="7"/>
      <c r="G52" t="str">
        <f>_xlfn.XLOOKUP($C52,AssetLocs!$A$1:$AAH$1,AssetLocs!$A$3:$AAH$3,"") &amp; ""</f>
        <v/>
      </c>
      <c r="H52" t="str">
        <f>_xlfn.XLOOKUP($C52,AssetLocs!$A$1:$AAH$1,AssetLocs!$B$3:$AAI$3,"") &amp; ""</f>
        <v/>
      </c>
      <c r="I52" s="7"/>
      <c r="J52" t="str">
        <f>_xlfn.XLOOKUP($C52,AssetLocs!$A$1:$AAH$1,AssetLocs!$A$4:$AAH$4,"") &amp; ""</f>
        <v/>
      </c>
      <c r="K52" t="str">
        <f>_xlfn.XLOOKUP($C52,AssetLocs!$A$1:$AAH$1,AssetLocs!$B$4:$AAI$4,"") &amp; ""</f>
        <v/>
      </c>
      <c r="L52" s="7"/>
      <c r="M52" t="str">
        <f>_xlfn.XLOOKUP($C52,AssetLocs!$A$1:$AAH$1,AssetLocs!$A$5:$AAH$5,"") &amp; ""</f>
        <v/>
      </c>
      <c r="N52" t="str">
        <f>_xlfn.XLOOKUP($C52,AssetLocs!$A$1:$AAH$1,AssetLocs!$B$5:$AAI$5,"") &amp; ""</f>
        <v/>
      </c>
      <c r="O52" s="7"/>
      <c r="P52" t="str">
        <f>_xlfn.XLOOKUP($C52,AssetLocs!$A$1:$AAH$1,AssetLocs!$A$6:$AAH$6,"") &amp; ""</f>
        <v/>
      </c>
      <c r="Q52" t="str">
        <f>_xlfn.XLOOKUP($C52,AssetLocs!$A$1:$AAH$1,AssetLocs!$B$6:$AAI$6,"") &amp; ""</f>
        <v/>
      </c>
      <c r="R52" s="7"/>
      <c r="S52" t="str">
        <f>_xlfn.XLOOKUP($C52,AssetLocs!$A$1:$AAH$1,AssetLocs!$A$7:$AAH$7,"") &amp; ""</f>
        <v/>
      </c>
      <c r="T52" t="str">
        <f>_xlfn.XLOOKUP($C52,AssetLocs!$A$1:$AAH$1,AssetLocs!$B$7:$AAI$7,"") &amp; ""</f>
        <v/>
      </c>
      <c r="U52" s="7"/>
      <c r="V52" t="str">
        <f>_xlfn.XLOOKUP($C52,AssetLocs!$A$1:$AAH$1,AssetLocs!$A$8:$AAH$8,"") &amp; ""</f>
        <v/>
      </c>
      <c r="W52" t="str">
        <f>_xlfn.XLOOKUP($C52,AssetLocs!$A$1:$AAH$1,AssetLocs!$B$8:$AAI$8,"") &amp; ""</f>
        <v/>
      </c>
      <c r="X52" s="7"/>
      <c r="Y52" s="11" t="str">
        <f>_xlfn.XLOOKUP($C52,AssetLocs!$A$1:$AAH$1,AssetLocs!$A$9:$AAH$9,"") &amp; ""</f>
        <v/>
      </c>
      <c r="Z52" s="11" t="str">
        <f>_xlfn.XLOOKUP($C52,AssetLocs!$A$1:$AAH$1,AssetLocs!$B$9:$AAI$9,"") &amp; ""</f>
        <v/>
      </c>
      <c r="AA52" s="7"/>
      <c r="AB52" s="11" t="str">
        <f>_xlfn.XLOOKUP($C52,AssetLocs!$A$1:$AAH$1,AssetLocs!$A$10:$AAH$10,"") &amp; ""</f>
        <v/>
      </c>
      <c r="AC52" s="11" t="str">
        <f>_xlfn.XLOOKUP($C52,AssetLocs!$A$1:$AAH$1,AssetLocs!$B$10:$AAI$10,"") &amp; ""</f>
        <v/>
      </c>
      <c r="AD52" s="7"/>
    </row>
    <row r="53" spans="1:30" x14ac:dyDescent="0.2">
      <c r="A53" t="str" cm="1">
        <f t="array" aca="1" ref="A53" ca="1">INDEX(INDIRECT(VLOOKUP($C$4, RoomLocs!$A$2:$B$35,2,)),ROW()-4,COLUMN()) &amp; ""</f>
        <v>Bin</v>
      </c>
      <c r="B53" t="str" cm="1">
        <f t="array" aca="1" ref="B53" ca="1">INDEX(INDIRECT(VLOOKUP($C$4, RoomLocs!$A$2:$B$35,2,)),ROW()-4,COLUMN()) &amp; ""</f>
        <v>5</v>
      </c>
      <c r="C53" s="8"/>
      <c r="D53" t="str">
        <f>_xlfn.XLOOKUP($C53,AssetLocs!$A$1:$AAH$1,AssetLocs!$A$2:$AAH$2,"") &amp; ""</f>
        <v/>
      </c>
      <c r="E53" t="str">
        <f>_xlfn.XLOOKUP($C53,AssetLocs!$A$1:$AAH$1,AssetLocs!$B$2:$AAI$2,"") &amp; ""</f>
        <v/>
      </c>
      <c r="F53" s="7"/>
      <c r="G53" t="str">
        <f>_xlfn.XLOOKUP($C53,AssetLocs!$A$1:$AAH$1,AssetLocs!$A$3:$AAH$3,"") &amp; ""</f>
        <v/>
      </c>
      <c r="H53" t="str">
        <f>_xlfn.XLOOKUP($C53,AssetLocs!$A$1:$AAH$1,AssetLocs!$B$3:$AAI$3,"") &amp; ""</f>
        <v/>
      </c>
      <c r="I53" s="7"/>
      <c r="J53" t="str">
        <f>_xlfn.XLOOKUP($C53,AssetLocs!$A$1:$AAH$1,AssetLocs!$A$4:$AAH$4,"") &amp; ""</f>
        <v/>
      </c>
      <c r="K53" t="str">
        <f>_xlfn.XLOOKUP($C53,AssetLocs!$A$1:$AAH$1,AssetLocs!$B$4:$AAI$4,"") &amp; ""</f>
        <v/>
      </c>
      <c r="L53" s="7"/>
      <c r="M53" t="str">
        <f>_xlfn.XLOOKUP($C53,AssetLocs!$A$1:$AAH$1,AssetLocs!$A$5:$AAH$5,"") &amp; ""</f>
        <v/>
      </c>
      <c r="N53" t="str">
        <f>_xlfn.XLOOKUP($C53,AssetLocs!$A$1:$AAH$1,AssetLocs!$B$5:$AAI$5,"") &amp; ""</f>
        <v/>
      </c>
      <c r="O53" s="7"/>
      <c r="P53" t="str">
        <f>_xlfn.XLOOKUP($C53,AssetLocs!$A$1:$AAH$1,AssetLocs!$A$6:$AAH$6,"") &amp; ""</f>
        <v/>
      </c>
      <c r="Q53" t="str">
        <f>_xlfn.XLOOKUP($C53,AssetLocs!$A$1:$AAH$1,AssetLocs!$B$6:$AAI$6,"") &amp; ""</f>
        <v/>
      </c>
      <c r="R53" s="7"/>
      <c r="S53" t="str">
        <f>_xlfn.XLOOKUP($C53,AssetLocs!$A$1:$AAH$1,AssetLocs!$A$7:$AAH$7,"") &amp; ""</f>
        <v/>
      </c>
      <c r="T53" t="str">
        <f>_xlfn.XLOOKUP($C53,AssetLocs!$A$1:$AAH$1,AssetLocs!$B$7:$AAI$7,"") &amp; ""</f>
        <v/>
      </c>
      <c r="U53" s="7"/>
      <c r="V53" t="str">
        <f>_xlfn.XLOOKUP($C53,AssetLocs!$A$1:$AAH$1,AssetLocs!$A$8:$AAH$8,"") &amp; ""</f>
        <v/>
      </c>
      <c r="W53" t="str">
        <f>_xlfn.XLOOKUP($C53,AssetLocs!$A$1:$AAH$1,AssetLocs!$B$8:$AAI$8,"") &amp; ""</f>
        <v/>
      </c>
      <c r="X53" s="7"/>
      <c r="Y53" s="11" t="str">
        <f>_xlfn.XLOOKUP($C53,AssetLocs!$A$1:$AAH$1,AssetLocs!$A$9:$AAH$9,"") &amp; ""</f>
        <v/>
      </c>
      <c r="Z53" s="11" t="str">
        <f>_xlfn.XLOOKUP($C53,AssetLocs!$A$1:$AAH$1,AssetLocs!$B$9:$AAI$9,"") &amp; ""</f>
        <v/>
      </c>
      <c r="AA53" s="7"/>
      <c r="AB53" s="11" t="str">
        <f>_xlfn.XLOOKUP($C53,AssetLocs!$A$1:$AAH$1,AssetLocs!$A$10:$AAH$10,"") &amp; ""</f>
        <v/>
      </c>
      <c r="AC53" s="11" t="str">
        <f>_xlfn.XLOOKUP($C53,AssetLocs!$A$1:$AAH$1,AssetLocs!$B$10:$AAI$10,"") &amp; ""</f>
        <v/>
      </c>
      <c r="AD53" s="7"/>
    </row>
    <row r="54" spans="1:30" x14ac:dyDescent="0.2">
      <c r="A54" t="str" cm="1">
        <f t="array" aca="1" ref="A54" ca="1">INDEX(INDIRECT(VLOOKUP($C$4, RoomLocs!$A$2:$B$35,2,)),ROW()-4,COLUMN()) &amp; ""</f>
        <v>Nurse</v>
      </c>
      <c r="B54" t="str" cm="1">
        <f t="array" aca="1" ref="B54" ca="1">INDEX(INDIRECT(VLOOKUP($C$4, RoomLocs!$A$2:$B$35,2,)),ROW()-4,COLUMN()) &amp; ""</f>
        <v>5</v>
      </c>
      <c r="C54" s="8"/>
      <c r="D54" t="str">
        <f>_xlfn.XLOOKUP($C54,AssetLocs!$A$1:$AAH$1,AssetLocs!$A$2:$AAH$2,"") &amp; ""</f>
        <v/>
      </c>
      <c r="E54" t="str">
        <f>_xlfn.XLOOKUP($C54,AssetLocs!$A$1:$AAH$1,AssetLocs!$B$2:$AAI$2,"") &amp; ""</f>
        <v/>
      </c>
      <c r="F54" s="7"/>
      <c r="G54" t="str">
        <f>_xlfn.XLOOKUP($C54,AssetLocs!$A$1:$AAH$1,AssetLocs!$A$3:$AAH$3,"") &amp; ""</f>
        <v/>
      </c>
      <c r="H54" t="str">
        <f>_xlfn.XLOOKUP($C54,AssetLocs!$A$1:$AAH$1,AssetLocs!$B$3:$AAI$3,"") &amp; ""</f>
        <v/>
      </c>
      <c r="I54" s="7"/>
      <c r="J54" t="str">
        <f>_xlfn.XLOOKUP($C54,AssetLocs!$A$1:$AAH$1,AssetLocs!$A$4:$AAH$4,"") &amp; ""</f>
        <v/>
      </c>
      <c r="K54" t="str">
        <f>_xlfn.XLOOKUP($C54,AssetLocs!$A$1:$AAH$1,AssetLocs!$B$4:$AAI$4,"") &amp; ""</f>
        <v/>
      </c>
      <c r="L54" s="7"/>
      <c r="M54" t="str">
        <f>_xlfn.XLOOKUP($C54,AssetLocs!$A$1:$AAH$1,AssetLocs!$A$5:$AAH$5,"") &amp; ""</f>
        <v/>
      </c>
      <c r="N54" t="str">
        <f>_xlfn.XLOOKUP($C54,AssetLocs!$A$1:$AAH$1,AssetLocs!$B$5:$AAI$5,"") &amp; ""</f>
        <v/>
      </c>
      <c r="O54" s="7"/>
      <c r="P54" t="str">
        <f>_xlfn.XLOOKUP($C54,AssetLocs!$A$1:$AAH$1,AssetLocs!$A$6:$AAH$6,"") &amp; ""</f>
        <v/>
      </c>
      <c r="Q54" t="str">
        <f>_xlfn.XLOOKUP($C54,AssetLocs!$A$1:$AAH$1,AssetLocs!$B$6:$AAI$6,"") &amp; ""</f>
        <v/>
      </c>
      <c r="R54" s="7"/>
      <c r="S54" t="str">
        <f>_xlfn.XLOOKUP($C54,AssetLocs!$A$1:$AAH$1,AssetLocs!$A$7:$AAH$7,"") &amp; ""</f>
        <v/>
      </c>
      <c r="T54" t="str">
        <f>_xlfn.XLOOKUP($C54,AssetLocs!$A$1:$AAH$1,AssetLocs!$B$7:$AAI$7,"") &amp; ""</f>
        <v/>
      </c>
      <c r="U54" s="7"/>
      <c r="V54" t="str">
        <f>_xlfn.XLOOKUP($C54,AssetLocs!$A$1:$AAH$1,AssetLocs!$A$8:$AAH$8,"") &amp; ""</f>
        <v/>
      </c>
      <c r="W54" t="str">
        <f>_xlfn.XLOOKUP($C54,AssetLocs!$A$1:$AAH$1,AssetLocs!$B$8:$AAI$8,"") &amp; ""</f>
        <v/>
      </c>
      <c r="X54" s="7"/>
      <c r="Y54" s="11" t="str">
        <f>_xlfn.XLOOKUP($C54,AssetLocs!$A$1:$AAH$1,AssetLocs!$A$9:$AAH$9,"") &amp; ""</f>
        <v/>
      </c>
      <c r="Z54" s="11" t="str">
        <f>_xlfn.XLOOKUP($C54,AssetLocs!$A$1:$AAH$1,AssetLocs!$B$9:$AAI$9,"") &amp; ""</f>
        <v/>
      </c>
      <c r="AA54" s="7"/>
      <c r="AB54" s="11" t="str">
        <f>_xlfn.XLOOKUP($C54,AssetLocs!$A$1:$AAH$1,AssetLocs!$A$10:$AAH$10,"") &amp; ""</f>
        <v/>
      </c>
      <c r="AC54" s="11" t="str">
        <f>_xlfn.XLOOKUP($C54,AssetLocs!$A$1:$AAH$1,AssetLocs!$B$10:$AAI$10,"") &amp; ""</f>
        <v/>
      </c>
      <c r="AD54" s="7"/>
    </row>
    <row r="55" spans="1:30" x14ac:dyDescent="0.2">
      <c r="A55" t="str" cm="1">
        <f t="array" aca="1" ref="A55" ca="1">INDEX(INDIRECT(VLOOKUP($C$4, RoomLocs!$A$2:$B$35,2,)),ROW()-4,COLUMN()) &amp; ""</f>
        <v>Desk</v>
      </c>
      <c r="B55" t="str" cm="1">
        <f t="array" aca="1" ref="B55" ca="1">INDEX(INDIRECT(VLOOKUP($C$4, RoomLocs!$A$2:$B$35,2,)),ROW()-4,COLUMN()) &amp; ""</f>
        <v>6</v>
      </c>
      <c r="C55" s="7"/>
      <c r="D55" t="str">
        <f>_xlfn.XLOOKUP($C55,AssetLocs!$A$1:$AAH$1,AssetLocs!$A$2:$AAH$2,"") &amp; ""</f>
        <v/>
      </c>
      <c r="E55" t="str">
        <f>_xlfn.XLOOKUP($C55,AssetLocs!$A$1:$AAH$1,AssetLocs!$B$2:$AAI$2,"") &amp; ""</f>
        <v/>
      </c>
      <c r="F55" s="7"/>
      <c r="G55" t="str">
        <f>_xlfn.XLOOKUP($C55,AssetLocs!$A$1:$AAH$1,AssetLocs!$A$3:$AAH$3,"") &amp; ""</f>
        <v/>
      </c>
      <c r="H55" t="str">
        <f>_xlfn.XLOOKUP($C55,AssetLocs!$A$1:$AAH$1,AssetLocs!$B$3:$AAI$3,"") &amp; ""</f>
        <v/>
      </c>
      <c r="I55" s="7"/>
      <c r="J55" t="str">
        <f>_xlfn.XLOOKUP($C55,AssetLocs!$A$1:$AAH$1,AssetLocs!$A$4:$AAH$4,"") &amp; ""</f>
        <v/>
      </c>
      <c r="K55" t="str">
        <f>_xlfn.XLOOKUP($C55,AssetLocs!$A$1:$AAH$1,AssetLocs!$B$4:$AAI$4,"") &amp; ""</f>
        <v/>
      </c>
      <c r="L55" s="7"/>
      <c r="M55" t="str">
        <f>_xlfn.XLOOKUP($C55,AssetLocs!$A$1:$AAH$1,AssetLocs!$A$5:$AAH$5,"") &amp; ""</f>
        <v/>
      </c>
      <c r="N55" t="str">
        <f>_xlfn.XLOOKUP($C55,AssetLocs!$A$1:$AAH$1,AssetLocs!$B$5:$AAI$5,"") &amp; ""</f>
        <v/>
      </c>
      <c r="O55" s="7"/>
      <c r="P55" t="str">
        <f>_xlfn.XLOOKUP($C55,AssetLocs!$A$1:$AAH$1,AssetLocs!$A$6:$AAH$6,"") &amp; ""</f>
        <v/>
      </c>
      <c r="Q55" t="str">
        <f>_xlfn.XLOOKUP($C55,AssetLocs!$A$1:$AAH$1,AssetLocs!$B$6:$AAI$6,"") &amp; ""</f>
        <v/>
      </c>
      <c r="R55" s="7"/>
      <c r="S55" t="str">
        <f>_xlfn.XLOOKUP($C55,AssetLocs!$A$1:$AAH$1,AssetLocs!$A$7:$AAH$7,"") &amp; ""</f>
        <v/>
      </c>
      <c r="T55" t="str">
        <f>_xlfn.XLOOKUP($C55,AssetLocs!$A$1:$AAH$1,AssetLocs!$B$7:$AAI$7,"") &amp; ""</f>
        <v/>
      </c>
      <c r="U55" s="7"/>
      <c r="V55" t="str">
        <f>_xlfn.XLOOKUP($C55,AssetLocs!$A$1:$AAH$1,AssetLocs!$A$8:$AAH$8,"") &amp; ""</f>
        <v/>
      </c>
      <c r="W55" t="str">
        <f>_xlfn.XLOOKUP($C55,AssetLocs!$A$1:$AAH$1,AssetLocs!$B$8:$AAI$8,"") &amp; ""</f>
        <v/>
      </c>
      <c r="X55" s="7"/>
      <c r="Y55" s="11" t="str">
        <f>_xlfn.XLOOKUP($C55,AssetLocs!$A$1:$AAH$1,AssetLocs!$A$9:$AAH$9,"") &amp; ""</f>
        <v/>
      </c>
      <c r="Z55" s="11" t="str">
        <f>_xlfn.XLOOKUP($C55,AssetLocs!$A$1:$AAH$1,AssetLocs!$B$9:$AAI$9,"") &amp; ""</f>
        <v/>
      </c>
      <c r="AA55" s="7"/>
      <c r="AB55" s="11" t="str">
        <f>_xlfn.XLOOKUP($C55,AssetLocs!$A$1:$AAH$1,AssetLocs!$A$10:$AAH$10,"") &amp; ""</f>
        <v/>
      </c>
      <c r="AC55" s="11" t="str">
        <f>_xlfn.XLOOKUP($C55,AssetLocs!$A$1:$AAH$1,AssetLocs!$B$10:$AAI$10,"") &amp; ""</f>
        <v/>
      </c>
      <c r="AD55" s="7"/>
    </row>
    <row r="56" spans="1:30" x14ac:dyDescent="0.2">
      <c r="A56" t="str" cm="1">
        <f t="array" aca="1" ref="A56" ca="1">INDEX(INDIRECT(VLOOKUP($C$4, RoomLocs!$A$2:$B$35,2,)),ROW()-4,COLUMN()) &amp; ""</f>
        <v>Desk</v>
      </c>
      <c r="B56" t="str" cm="1">
        <f t="array" aca="1" ref="B56" ca="1">INDEX(INDIRECT(VLOOKUP($C$4, RoomLocs!$A$2:$B$35,2,)),ROW()-4,COLUMN()) &amp; ""</f>
        <v>7</v>
      </c>
      <c r="C56" s="7"/>
      <c r="D56" t="str">
        <f>_xlfn.XLOOKUP($C56,AssetLocs!$A$1:$AAH$1,AssetLocs!$A$2:$AAH$2,"") &amp; ""</f>
        <v/>
      </c>
      <c r="E56" t="str">
        <f>_xlfn.XLOOKUP($C56,AssetLocs!$A$1:$AAH$1,AssetLocs!$B$2:$AAI$2,"") &amp; ""</f>
        <v/>
      </c>
      <c r="F56" s="7"/>
      <c r="G56" t="str">
        <f>_xlfn.XLOOKUP($C56,AssetLocs!$A$1:$AAH$1,AssetLocs!$A$3:$AAH$3,"") &amp; ""</f>
        <v/>
      </c>
      <c r="H56" t="str">
        <f>_xlfn.XLOOKUP($C56,AssetLocs!$A$1:$AAH$1,AssetLocs!$B$3:$AAI$3,"") &amp; ""</f>
        <v/>
      </c>
      <c r="I56" s="7"/>
      <c r="J56" t="str">
        <f>_xlfn.XLOOKUP($C56,AssetLocs!$A$1:$AAH$1,AssetLocs!$A$4:$AAH$4,"") &amp; ""</f>
        <v/>
      </c>
      <c r="K56" t="str">
        <f>_xlfn.XLOOKUP($C56,AssetLocs!$A$1:$AAH$1,AssetLocs!$B$4:$AAI$4,"") &amp; ""</f>
        <v/>
      </c>
      <c r="L56" s="7"/>
      <c r="M56" t="str">
        <f>_xlfn.XLOOKUP($C56,AssetLocs!$A$1:$AAH$1,AssetLocs!$A$5:$AAH$5,"") &amp; ""</f>
        <v/>
      </c>
      <c r="N56" t="str">
        <f>_xlfn.XLOOKUP($C56,AssetLocs!$A$1:$AAH$1,AssetLocs!$B$5:$AAI$5,"") &amp; ""</f>
        <v/>
      </c>
      <c r="O56" s="7"/>
      <c r="P56" t="str">
        <f>_xlfn.XLOOKUP($C56,AssetLocs!$A$1:$AAH$1,AssetLocs!$A$6:$AAH$6,"") &amp; ""</f>
        <v/>
      </c>
      <c r="Q56" t="str">
        <f>_xlfn.XLOOKUP($C56,AssetLocs!$A$1:$AAH$1,AssetLocs!$B$6:$AAI$6,"") &amp; ""</f>
        <v/>
      </c>
      <c r="R56" s="7"/>
      <c r="S56" t="str">
        <f>_xlfn.XLOOKUP($C56,AssetLocs!$A$1:$AAH$1,AssetLocs!$A$7:$AAH$7,"") &amp; ""</f>
        <v/>
      </c>
      <c r="T56" t="str">
        <f>_xlfn.XLOOKUP($C56,AssetLocs!$A$1:$AAH$1,AssetLocs!$B$7:$AAI$7,"") &amp; ""</f>
        <v/>
      </c>
      <c r="U56" s="7"/>
      <c r="V56" t="str">
        <f>_xlfn.XLOOKUP($C56,AssetLocs!$A$1:$AAH$1,AssetLocs!$A$8:$AAH$8,"") &amp; ""</f>
        <v/>
      </c>
      <c r="W56" t="str">
        <f>_xlfn.XLOOKUP($C56,AssetLocs!$A$1:$AAH$1,AssetLocs!$B$8:$AAI$8,"") &amp; ""</f>
        <v/>
      </c>
      <c r="X56" s="7"/>
      <c r="Y56" s="11" t="str">
        <f>_xlfn.XLOOKUP($C56,AssetLocs!$A$1:$AAH$1,AssetLocs!$A$9:$AAH$9,"") &amp; ""</f>
        <v/>
      </c>
      <c r="Z56" s="11" t="str">
        <f>_xlfn.XLOOKUP($C56,AssetLocs!$A$1:$AAH$1,AssetLocs!$B$9:$AAI$9,"") &amp; ""</f>
        <v/>
      </c>
      <c r="AA56" s="7"/>
      <c r="AB56" s="11" t="str">
        <f>_xlfn.XLOOKUP($C56,AssetLocs!$A$1:$AAH$1,AssetLocs!$A$10:$AAH$10,"") &amp; ""</f>
        <v/>
      </c>
      <c r="AC56" s="11" t="str">
        <f>_xlfn.XLOOKUP($C56,AssetLocs!$A$1:$AAH$1,AssetLocs!$B$10:$AAI$10,"") &amp; ""</f>
        <v/>
      </c>
      <c r="AD56" s="7"/>
    </row>
    <row r="57" spans="1:30" x14ac:dyDescent="0.2">
      <c r="A57" t="str" cm="1">
        <f t="array" aca="1" ref="A57" ca="1">INDEX(INDIRECT(VLOOKUP($C$4, RoomLocs!$A$2:$B$35,2,)),ROW()-4,COLUMN()) &amp; ""</f>
        <v/>
      </c>
      <c r="B57" t="str" cm="1">
        <f t="array" aca="1" ref="B57" ca="1">INDEX(INDIRECT(VLOOKUP($C$4, RoomLocs!$A$2:$B$35,2,)),ROW()-4,COLUMN()) &amp; ""</f>
        <v/>
      </c>
      <c r="C57" s="7"/>
      <c r="D57" t="str">
        <f>_xlfn.XLOOKUP($C57,AssetLocs!$A$1:$AAH$1,AssetLocs!$A$2:$AAH$2,"") &amp; ""</f>
        <v/>
      </c>
      <c r="E57" t="str">
        <f>_xlfn.XLOOKUP($C57,AssetLocs!$A$1:$AAH$1,AssetLocs!$B$2:$AAI$2,"") &amp; ""</f>
        <v/>
      </c>
      <c r="F57" s="7"/>
      <c r="G57" t="str">
        <f>_xlfn.XLOOKUP($C57,AssetLocs!$A$1:$AAH$1,AssetLocs!$A$3:$AAH$3,"") &amp; ""</f>
        <v/>
      </c>
      <c r="H57" t="str">
        <f>_xlfn.XLOOKUP($C57,AssetLocs!$A$1:$AAH$1,AssetLocs!$B$3:$AAI$3,"") &amp; ""</f>
        <v/>
      </c>
      <c r="I57" s="7"/>
      <c r="J57" t="str">
        <f>_xlfn.XLOOKUP($C57,AssetLocs!$A$1:$AAH$1,AssetLocs!$A$4:$AAH$4,"") &amp; ""</f>
        <v/>
      </c>
      <c r="K57" t="str">
        <f>_xlfn.XLOOKUP($C57,AssetLocs!$A$1:$AAH$1,AssetLocs!$B$4:$AAI$4,"") &amp; ""</f>
        <v/>
      </c>
      <c r="L57" s="7"/>
      <c r="M57" t="str">
        <f>_xlfn.XLOOKUP($C57,AssetLocs!$A$1:$AAH$1,AssetLocs!$A$5:$AAH$5,"") &amp; ""</f>
        <v/>
      </c>
      <c r="N57" t="str">
        <f>_xlfn.XLOOKUP($C57,AssetLocs!$A$1:$AAH$1,AssetLocs!$B$5:$AAI$5,"") &amp; ""</f>
        <v/>
      </c>
      <c r="O57" s="7"/>
      <c r="P57" t="str">
        <f>_xlfn.XLOOKUP($C57,AssetLocs!$A$1:$AAH$1,AssetLocs!$A$6:$AAH$6,"") &amp; ""</f>
        <v/>
      </c>
      <c r="Q57" t="str">
        <f>_xlfn.XLOOKUP($C57,AssetLocs!$A$1:$AAH$1,AssetLocs!$B$6:$AAI$6,"") &amp; ""</f>
        <v/>
      </c>
      <c r="R57" s="7"/>
      <c r="S57" t="str">
        <f>_xlfn.XLOOKUP($C57,AssetLocs!$A$1:$AAH$1,AssetLocs!$A$7:$AAH$7,"") &amp; ""</f>
        <v/>
      </c>
      <c r="T57" t="str">
        <f>_xlfn.XLOOKUP($C57,AssetLocs!$A$1:$AAH$1,AssetLocs!$B$7:$AAI$7,"") &amp; ""</f>
        <v/>
      </c>
      <c r="U57" s="7"/>
      <c r="V57" t="str">
        <f>_xlfn.XLOOKUP($C57,AssetLocs!$A$1:$AAH$1,AssetLocs!$A$8:$AAH$8,"") &amp; ""</f>
        <v/>
      </c>
      <c r="W57" t="str">
        <f>_xlfn.XLOOKUP($C57,AssetLocs!$A$1:$AAH$1,AssetLocs!$B$8:$AAI$8,"") &amp; ""</f>
        <v/>
      </c>
      <c r="X57" s="7"/>
      <c r="Y57" s="11" t="str">
        <f>_xlfn.XLOOKUP($C57,AssetLocs!$A$1:$AAH$1,AssetLocs!$A$9:$AAH$9,"") &amp; ""</f>
        <v/>
      </c>
      <c r="Z57" s="11" t="str">
        <f>_xlfn.XLOOKUP($C57,AssetLocs!$A$1:$AAH$1,AssetLocs!$B$9:$AAI$9,"") &amp; ""</f>
        <v/>
      </c>
      <c r="AA57" s="7"/>
      <c r="AB57" s="11" t="str">
        <f>_xlfn.XLOOKUP($C57,AssetLocs!$A$1:$AAH$1,AssetLocs!$A$10:$AAH$10,"") &amp; ""</f>
        <v/>
      </c>
      <c r="AC57" s="11" t="str">
        <f>_xlfn.XLOOKUP($C57,AssetLocs!$A$1:$AAH$1,AssetLocs!$B$10:$AAI$10,"") &amp; ""</f>
        <v/>
      </c>
      <c r="AD57" s="7"/>
    </row>
    <row r="58" spans="1:30" x14ac:dyDescent="0.2">
      <c r="A58" t="str" cm="1">
        <f t="array" aca="1" ref="A58" ca="1">INDEX(INDIRECT(VLOOKUP($C$4, RoomLocs!$A$2:$B$35,2,)),ROW()-4,COLUMN()) &amp; ""</f>
        <v/>
      </c>
      <c r="B58" t="str" cm="1">
        <f t="array" aca="1" ref="B58" ca="1">INDEX(INDIRECT(VLOOKUP($C$4, RoomLocs!$A$2:$B$35,2,)),ROW()-4,COLUMN()) &amp; ""</f>
        <v/>
      </c>
      <c r="C58" s="7"/>
      <c r="D58" t="str">
        <f>_xlfn.XLOOKUP($C58,AssetLocs!$A$1:$AAH$1,AssetLocs!$A$2:$AAH$2,"") &amp; ""</f>
        <v/>
      </c>
      <c r="E58" t="str">
        <f>_xlfn.XLOOKUP($C58,AssetLocs!$A$1:$AAH$1,AssetLocs!$B$2:$AAI$2,"") &amp; ""</f>
        <v/>
      </c>
      <c r="F58" s="7"/>
      <c r="G58" t="str">
        <f>_xlfn.XLOOKUP($C58,AssetLocs!$A$1:$AAH$1,AssetLocs!$A$3:$AAH$3,"") &amp; ""</f>
        <v/>
      </c>
      <c r="H58" t="str">
        <f>_xlfn.XLOOKUP($C58,AssetLocs!$A$1:$AAH$1,AssetLocs!$B$3:$AAI$3,"") &amp; ""</f>
        <v/>
      </c>
      <c r="I58" s="7"/>
      <c r="J58" t="str">
        <f>_xlfn.XLOOKUP($C58,AssetLocs!$A$1:$AAH$1,AssetLocs!$A$4:$AAH$4,"") &amp; ""</f>
        <v/>
      </c>
      <c r="K58" t="str">
        <f>_xlfn.XLOOKUP($C58,AssetLocs!$A$1:$AAH$1,AssetLocs!$B$4:$AAI$4,"") &amp; ""</f>
        <v/>
      </c>
      <c r="L58" s="7"/>
      <c r="M58" t="str">
        <f>_xlfn.XLOOKUP($C58,AssetLocs!$A$1:$AAH$1,AssetLocs!$A$5:$AAH$5,"") &amp; ""</f>
        <v/>
      </c>
      <c r="N58" t="str">
        <f>_xlfn.XLOOKUP($C58,AssetLocs!$A$1:$AAH$1,AssetLocs!$B$5:$AAI$5,"") &amp; ""</f>
        <v/>
      </c>
      <c r="O58" s="7"/>
      <c r="P58" t="str">
        <f>_xlfn.XLOOKUP($C58,AssetLocs!$A$1:$AAH$1,AssetLocs!$A$6:$AAH$6,"") &amp; ""</f>
        <v/>
      </c>
      <c r="Q58" t="str">
        <f>_xlfn.XLOOKUP($C58,AssetLocs!$A$1:$AAH$1,AssetLocs!$B$6:$AAI$6,"") &amp; ""</f>
        <v/>
      </c>
      <c r="R58" s="7"/>
      <c r="S58" t="str">
        <f>_xlfn.XLOOKUP($C58,AssetLocs!$A$1:$AAH$1,AssetLocs!$A$7:$AAH$7,"") &amp; ""</f>
        <v/>
      </c>
      <c r="T58" t="str">
        <f>_xlfn.XLOOKUP($C58,AssetLocs!$A$1:$AAH$1,AssetLocs!$B$7:$AAI$7,"") &amp; ""</f>
        <v/>
      </c>
      <c r="U58" s="7"/>
      <c r="V58" t="str">
        <f>_xlfn.XLOOKUP($C58,AssetLocs!$A$1:$AAH$1,AssetLocs!$A$8:$AAH$8,"") &amp; ""</f>
        <v/>
      </c>
      <c r="W58" t="str">
        <f>_xlfn.XLOOKUP($C58,AssetLocs!$A$1:$AAH$1,AssetLocs!$B$8:$AAI$8,"") &amp; ""</f>
        <v/>
      </c>
      <c r="X58" s="7"/>
      <c r="Y58" s="11" t="str">
        <f>_xlfn.XLOOKUP($C58,AssetLocs!$A$1:$AAH$1,AssetLocs!$A$9:$AAH$9,"") &amp; ""</f>
        <v/>
      </c>
      <c r="Z58" s="11" t="str">
        <f>_xlfn.XLOOKUP($C58,AssetLocs!$A$1:$AAH$1,AssetLocs!$B$9:$AAI$9,"") &amp; ""</f>
        <v/>
      </c>
      <c r="AA58" s="7"/>
      <c r="AB58" s="11" t="str">
        <f>_xlfn.XLOOKUP($C58,AssetLocs!$A$1:$AAH$1,AssetLocs!$A$10:$AAH$10,"") &amp; ""</f>
        <v/>
      </c>
      <c r="AC58" s="11" t="str">
        <f>_xlfn.XLOOKUP($C58,AssetLocs!$A$1:$AAH$1,AssetLocs!$B$10:$AAI$10,"") &amp; ""</f>
        <v/>
      </c>
      <c r="AD58" s="7"/>
    </row>
    <row r="59" spans="1:30" x14ac:dyDescent="0.2">
      <c r="A59" t="str" cm="1">
        <f t="array" aca="1" ref="A59" ca="1">INDEX(INDIRECT(VLOOKUP($C$4, RoomLocs!$A$2:$B$35,2,)),ROW()-4,COLUMN()) &amp; ""</f>
        <v/>
      </c>
      <c r="B59" t="str" cm="1">
        <f t="array" aca="1" ref="B59" ca="1">INDEX(INDIRECT(VLOOKUP($C$4, RoomLocs!$A$2:$B$35,2,)),ROW()-4,COLUMN()) &amp; ""</f>
        <v/>
      </c>
      <c r="C59" s="7"/>
      <c r="D59" t="str">
        <f>_xlfn.XLOOKUP($C59,AssetLocs!$A$1:$AAH$1,AssetLocs!$A$2:$AAH$2,"") &amp; ""</f>
        <v/>
      </c>
      <c r="E59" t="str">
        <f>_xlfn.XLOOKUP($C59,AssetLocs!$A$1:$AAH$1,AssetLocs!$B$2:$AAI$2,"") &amp; ""</f>
        <v/>
      </c>
      <c r="F59" s="7"/>
      <c r="G59" t="str">
        <f>_xlfn.XLOOKUP($C59,AssetLocs!$A$1:$AAH$1,AssetLocs!$A$3:$AAH$3,"") &amp; ""</f>
        <v/>
      </c>
      <c r="H59" t="str">
        <f>_xlfn.XLOOKUP($C59,AssetLocs!$A$1:$AAH$1,AssetLocs!$B$3:$AAI$3,"") &amp; ""</f>
        <v/>
      </c>
      <c r="I59" s="7"/>
      <c r="J59" t="str">
        <f>_xlfn.XLOOKUP($C59,AssetLocs!$A$1:$AAH$1,AssetLocs!$A$4:$AAH$4,"") &amp; ""</f>
        <v/>
      </c>
      <c r="K59" t="str">
        <f>_xlfn.XLOOKUP($C59,AssetLocs!$A$1:$AAH$1,AssetLocs!$B$4:$AAI$4,"") &amp; ""</f>
        <v/>
      </c>
      <c r="L59" s="7"/>
      <c r="M59" t="str">
        <f>_xlfn.XLOOKUP($C59,AssetLocs!$A$1:$AAH$1,AssetLocs!$A$5:$AAH$5,"") &amp; ""</f>
        <v/>
      </c>
      <c r="N59" t="str">
        <f>_xlfn.XLOOKUP($C59,AssetLocs!$A$1:$AAH$1,AssetLocs!$B$5:$AAI$5,"") &amp; ""</f>
        <v/>
      </c>
      <c r="O59" s="7"/>
      <c r="P59" t="str">
        <f>_xlfn.XLOOKUP($C59,AssetLocs!$A$1:$AAH$1,AssetLocs!$A$6:$AAH$6,"") &amp; ""</f>
        <v/>
      </c>
      <c r="Q59" t="str">
        <f>_xlfn.XLOOKUP($C59,AssetLocs!$A$1:$AAH$1,AssetLocs!$B$6:$AAI$6,"") &amp; ""</f>
        <v/>
      </c>
      <c r="R59" s="7"/>
      <c r="S59" t="str">
        <f>_xlfn.XLOOKUP($C59,AssetLocs!$A$1:$AAH$1,AssetLocs!$A$7:$AAH$7,"") &amp; ""</f>
        <v/>
      </c>
      <c r="T59" t="str">
        <f>_xlfn.XLOOKUP($C59,AssetLocs!$A$1:$AAH$1,AssetLocs!$B$7:$AAI$7,"") &amp; ""</f>
        <v/>
      </c>
      <c r="U59" s="7"/>
      <c r="V59" t="str">
        <f>_xlfn.XLOOKUP($C59,AssetLocs!$A$1:$AAH$1,AssetLocs!$A$8:$AAH$8,"") &amp; ""</f>
        <v/>
      </c>
      <c r="W59" t="str">
        <f>_xlfn.XLOOKUP($C59,AssetLocs!$A$1:$AAH$1,AssetLocs!$B$8:$AAI$8,"") &amp; ""</f>
        <v/>
      </c>
      <c r="X59" s="7"/>
      <c r="Y59" s="11" t="str">
        <f>_xlfn.XLOOKUP($C59,AssetLocs!$A$1:$AAH$1,AssetLocs!$A$9:$AAH$9,"") &amp; ""</f>
        <v/>
      </c>
      <c r="Z59" s="11" t="str">
        <f>_xlfn.XLOOKUP($C59,AssetLocs!$A$1:$AAH$1,AssetLocs!$B$9:$AAI$9,"") &amp; ""</f>
        <v/>
      </c>
      <c r="AA59" s="7"/>
      <c r="AB59" s="11" t="str">
        <f>_xlfn.XLOOKUP($C59,AssetLocs!$A$1:$AAH$1,AssetLocs!$A$10:$AAH$10,"") &amp; ""</f>
        <v/>
      </c>
      <c r="AC59" s="11" t="str">
        <f>_xlfn.XLOOKUP($C59,AssetLocs!$A$1:$AAH$1,AssetLocs!$B$10:$AAI$10,"") &amp; ""</f>
        <v/>
      </c>
      <c r="AD59" s="7"/>
    </row>
    <row r="60" spans="1:30" x14ac:dyDescent="0.2">
      <c r="A60" t="str" cm="1">
        <f t="array" aca="1" ref="A60" ca="1">INDEX(INDIRECT(VLOOKUP($C$4, RoomLocs!$A$2:$B$35,2,)),ROW()-4,COLUMN()) &amp; ""</f>
        <v/>
      </c>
      <c r="B60" t="str" cm="1">
        <f t="array" aca="1" ref="B60" ca="1">INDEX(INDIRECT(VLOOKUP($C$4, RoomLocs!$A$2:$B$35,2,)),ROW()-4,COLUMN()) &amp; ""</f>
        <v/>
      </c>
      <c r="C60" s="8"/>
      <c r="D60" t="str">
        <f>_xlfn.XLOOKUP($C60,AssetLocs!$A$1:$AAH$1,AssetLocs!$A$2:$AAH$2,"") &amp; ""</f>
        <v/>
      </c>
      <c r="E60" t="str">
        <f>_xlfn.XLOOKUP($C60,AssetLocs!$A$1:$AAH$1,AssetLocs!$B$2:$AAI$2,"") &amp; ""</f>
        <v/>
      </c>
      <c r="F60" s="7"/>
      <c r="G60" t="str">
        <f>_xlfn.XLOOKUP($C60,AssetLocs!$A$1:$AAH$1,AssetLocs!$A$3:$AAH$3,"") &amp; ""</f>
        <v/>
      </c>
      <c r="H60" t="str">
        <f>_xlfn.XLOOKUP($C60,AssetLocs!$A$1:$AAH$1,AssetLocs!$B$3:$AAI$3,"") &amp; ""</f>
        <v/>
      </c>
      <c r="I60" s="7"/>
      <c r="J60" t="str">
        <f>_xlfn.XLOOKUP($C60,AssetLocs!$A$1:$AAH$1,AssetLocs!$A$4:$AAH$4,"") &amp; ""</f>
        <v/>
      </c>
      <c r="K60" t="str">
        <f>_xlfn.XLOOKUP($C60,AssetLocs!$A$1:$AAH$1,AssetLocs!$B$4:$AAI$4,"") &amp; ""</f>
        <v/>
      </c>
      <c r="L60" s="7"/>
      <c r="M60" t="str">
        <f>_xlfn.XLOOKUP($C60,AssetLocs!$A$1:$AAH$1,AssetLocs!$A$5:$AAH$5,"") &amp; ""</f>
        <v/>
      </c>
      <c r="N60" t="str">
        <f>_xlfn.XLOOKUP($C60,AssetLocs!$A$1:$AAH$1,AssetLocs!$B$5:$AAI$5,"") &amp; ""</f>
        <v/>
      </c>
      <c r="O60" s="7"/>
      <c r="P60" t="str">
        <f>_xlfn.XLOOKUP($C60,AssetLocs!$A$1:$AAH$1,AssetLocs!$A$6:$AAH$6,"") &amp; ""</f>
        <v/>
      </c>
      <c r="Q60" t="str">
        <f>_xlfn.XLOOKUP($C60,AssetLocs!$A$1:$AAH$1,AssetLocs!$B$6:$AAI$6,"") &amp; ""</f>
        <v/>
      </c>
      <c r="R60" s="7"/>
      <c r="S60" t="str">
        <f>_xlfn.XLOOKUP($C60,AssetLocs!$A$1:$AAH$1,AssetLocs!$A$7:$AAH$7,"") &amp; ""</f>
        <v/>
      </c>
      <c r="T60" t="str">
        <f>_xlfn.XLOOKUP($C60,AssetLocs!$A$1:$AAH$1,AssetLocs!$B$7:$AAI$7,"") &amp; ""</f>
        <v/>
      </c>
      <c r="U60" s="7"/>
      <c r="V60" t="str">
        <f>_xlfn.XLOOKUP($C60,AssetLocs!$A$1:$AAH$1,AssetLocs!$A$8:$AAH$8,"") &amp; ""</f>
        <v/>
      </c>
      <c r="W60" t="str">
        <f>_xlfn.XLOOKUP($C60,AssetLocs!$A$1:$AAH$1,AssetLocs!$B$8:$AAI$8,"") &amp; ""</f>
        <v/>
      </c>
      <c r="X60" s="7"/>
      <c r="Y60" s="11" t="str">
        <f>_xlfn.XLOOKUP($C60,AssetLocs!$A$1:$AAH$1,AssetLocs!$A$9:$AAH$9,"") &amp; ""</f>
        <v/>
      </c>
      <c r="Z60" s="11" t="str">
        <f>_xlfn.XLOOKUP($C60,AssetLocs!$A$1:$AAH$1,AssetLocs!$B$9:$AAI$9,"") &amp; ""</f>
        <v/>
      </c>
      <c r="AA60" s="7"/>
      <c r="AB60" s="11" t="str">
        <f>_xlfn.XLOOKUP($C60,AssetLocs!$A$1:$AAH$1,AssetLocs!$A$10:$AAH$10,"") &amp; ""</f>
        <v/>
      </c>
      <c r="AC60" s="11" t="str">
        <f>_xlfn.XLOOKUP($C60,AssetLocs!$A$1:$AAH$1,AssetLocs!$B$10:$AAI$10,"") &amp; ""</f>
        <v/>
      </c>
      <c r="AD60" s="7"/>
    </row>
    <row r="61" spans="1:30" x14ac:dyDescent="0.2">
      <c r="A61" t="str" cm="1">
        <f t="array" aca="1" ref="A61" ca="1">INDEX(INDIRECT(VLOOKUP($C$4, RoomLocs!$A$2:$B$35,2,)),ROW()-4,COLUMN()) &amp; ""</f>
        <v/>
      </c>
      <c r="B61" t="str" cm="1">
        <f t="array" aca="1" ref="B61" ca="1">INDEX(INDIRECT(VLOOKUP($C$4, RoomLocs!$A$2:$B$35,2,)),ROW()-4,COLUMN()) &amp; ""</f>
        <v/>
      </c>
      <c r="C61" s="7"/>
      <c r="D61" t="str">
        <f>_xlfn.XLOOKUP($C61,AssetLocs!$A$1:$AAH$1,AssetLocs!$A$2:$AAH$2,"") &amp; ""</f>
        <v/>
      </c>
      <c r="E61" t="str">
        <f>_xlfn.XLOOKUP($C61,AssetLocs!$A$1:$AAH$1,AssetLocs!$B$2:$AAI$2,"") &amp; ""</f>
        <v/>
      </c>
      <c r="F61" s="7"/>
      <c r="G61" t="str">
        <f>_xlfn.XLOOKUP($C61,AssetLocs!$A$1:$AAH$1,AssetLocs!$A$3:$AAH$3,"") &amp; ""</f>
        <v/>
      </c>
      <c r="H61" t="str">
        <f>_xlfn.XLOOKUP($C61,AssetLocs!$A$1:$AAH$1,AssetLocs!$B$3:$AAI$3,"") &amp; ""</f>
        <v/>
      </c>
      <c r="I61" s="7"/>
      <c r="J61" t="str">
        <f>_xlfn.XLOOKUP($C61,AssetLocs!$A$1:$AAH$1,AssetLocs!$A$4:$AAH$4,"") &amp; ""</f>
        <v/>
      </c>
      <c r="K61" t="str">
        <f>_xlfn.XLOOKUP($C61,AssetLocs!$A$1:$AAH$1,AssetLocs!$B$4:$AAI$4,"") &amp; ""</f>
        <v/>
      </c>
      <c r="L61" s="7"/>
      <c r="M61" t="str">
        <f>_xlfn.XLOOKUP($C61,AssetLocs!$A$1:$AAH$1,AssetLocs!$A$5:$AAH$5,"") &amp; ""</f>
        <v/>
      </c>
      <c r="N61" t="str">
        <f>_xlfn.XLOOKUP($C61,AssetLocs!$A$1:$AAH$1,AssetLocs!$B$5:$AAI$5,"") &amp; ""</f>
        <v/>
      </c>
      <c r="O61" s="7"/>
      <c r="P61" t="str">
        <f>_xlfn.XLOOKUP($C61,AssetLocs!$A$1:$AAH$1,AssetLocs!$A$6:$AAH$6,"") &amp; ""</f>
        <v/>
      </c>
      <c r="Q61" t="str">
        <f>_xlfn.XLOOKUP($C61,AssetLocs!$A$1:$AAH$1,AssetLocs!$B$6:$AAI$6,"") &amp; ""</f>
        <v/>
      </c>
      <c r="R61" s="7"/>
      <c r="S61" t="str">
        <f>_xlfn.XLOOKUP($C61,AssetLocs!$A$1:$AAH$1,AssetLocs!$A$7:$AAH$7,"") &amp; ""</f>
        <v/>
      </c>
      <c r="T61" t="str">
        <f>_xlfn.XLOOKUP($C61,AssetLocs!$A$1:$AAH$1,AssetLocs!$B$7:$AAI$7,"") &amp; ""</f>
        <v/>
      </c>
      <c r="U61" s="7"/>
      <c r="V61" t="str">
        <f>_xlfn.XLOOKUP($C61,AssetLocs!$A$1:$AAH$1,AssetLocs!$A$8:$AAH$8,"") &amp; ""</f>
        <v/>
      </c>
      <c r="W61" t="str">
        <f>_xlfn.XLOOKUP($C61,AssetLocs!$A$1:$AAH$1,AssetLocs!$B$8:$AAI$8,"") &amp; ""</f>
        <v/>
      </c>
      <c r="X61" s="7"/>
      <c r="Y61" s="11" t="str">
        <f>_xlfn.XLOOKUP($C61,AssetLocs!$A$1:$AAH$1,AssetLocs!$A$9:$AAH$9,"") &amp; ""</f>
        <v/>
      </c>
      <c r="Z61" s="11" t="str">
        <f>_xlfn.XLOOKUP($C61,AssetLocs!$A$1:$AAH$1,AssetLocs!$B$9:$AAI$9,"") &amp; ""</f>
        <v/>
      </c>
      <c r="AA61" s="7"/>
      <c r="AB61" s="11" t="str">
        <f>_xlfn.XLOOKUP($C61,AssetLocs!$A$1:$AAH$1,AssetLocs!$A$10:$AAH$10,"") &amp; ""</f>
        <v/>
      </c>
      <c r="AC61" s="11" t="str">
        <f>_xlfn.XLOOKUP($C61,AssetLocs!$A$1:$AAH$1,AssetLocs!$B$10:$AAI$10,"") &amp; ""</f>
        <v/>
      </c>
      <c r="AD61" s="7"/>
    </row>
    <row r="62" spans="1:30" x14ac:dyDescent="0.2">
      <c r="A62" t="str" cm="1">
        <f t="array" aca="1" ref="A62" ca="1">INDEX(INDIRECT(VLOOKUP($C$4, RoomLocs!$A$2:$B$35,2,)),ROW()-4,COLUMN()) &amp; ""</f>
        <v/>
      </c>
      <c r="B62" t="str" cm="1">
        <f t="array" aca="1" ref="B62" ca="1">INDEX(INDIRECT(VLOOKUP($C$4, RoomLocs!$A$2:$B$35,2,)),ROW()-4,COLUMN()) &amp; ""</f>
        <v/>
      </c>
      <c r="C62" s="7"/>
      <c r="D62" t="str">
        <f>_xlfn.XLOOKUP($C62,AssetLocs!$A$1:$AAH$1,AssetLocs!$A$2:$AAH$2,"") &amp; ""</f>
        <v/>
      </c>
      <c r="E62" t="str">
        <f>_xlfn.XLOOKUP($C62,AssetLocs!$A$1:$AAH$1,AssetLocs!$B$2:$AAI$2,"") &amp; ""</f>
        <v/>
      </c>
      <c r="F62" s="7"/>
      <c r="G62" t="str">
        <f>_xlfn.XLOOKUP($C62,AssetLocs!$A$1:$AAH$1,AssetLocs!$A$3:$AAH$3,"") &amp; ""</f>
        <v/>
      </c>
      <c r="H62" t="str">
        <f>_xlfn.XLOOKUP($C62,AssetLocs!$A$1:$AAH$1,AssetLocs!$B$3:$AAI$3,"") &amp; ""</f>
        <v/>
      </c>
      <c r="I62" s="7"/>
      <c r="J62" t="str">
        <f>_xlfn.XLOOKUP($C62,AssetLocs!$A$1:$AAH$1,AssetLocs!$A$4:$AAH$4,"") &amp; ""</f>
        <v/>
      </c>
      <c r="K62" t="str">
        <f>_xlfn.XLOOKUP($C62,AssetLocs!$A$1:$AAH$1,AssetLocs!$B$4:$AAI$4,"") &amp; ""</f>
        <v/>
      </c>
      <c r="L62" s="7"/>
      <c r="M62" t="str">
        <f>_xlfn.XLOOKUP($C62,AssetLocs!$A$1:$AAH$1,AssetLocs!$A$5:$AAH$5,"") &amp; ""</f>
        <v/>
      </c>
      <c r="N62" t="str">
        <f>_xlfn.XLOOKUP($C62,AssetLocs!$A$1:$AAH$1,AssetLocs!$B$5:$AAI$5,"") &amp; ""</f>
        <v/>
      </c>
      <c r="O62" s="7"/>
      <c r="P62" t="str">
        <f>_xlfn.XLOOKUP($C62,AssetLocs!$A$1:$AAH$1,AssetLocs!$A$6:$AAH$6,"") &amp; ""</f>
        <v/>
      </c>
      <c r="Q62" t="str">
        <f>_xlfn.XLOOKUP($C62,AssetLocs!$A$1:$AAH$1,AssetLocs!$B$6:$AAI$6,"") &amp; ""</f>
        <v/>
      </c>
      <c r="R62" s="7"/>
      <c r="S62" t="str">
        <f>_xlfn.XLOOKUP($C62,AssetLocs!$A$1:$AAH$1,AssetLocs!$A$7:$AAH$7,"") &amp; ""</f>
        <v/>
      </c>
      <c r="T62" t="str">
        <f>_xlfn.XLOOKUP($C62,AssetLocs!$A$1:$AAH$1,AssetLocs!$B$7:$AAI$7,"") &amp; ""</f>
        <v/>
      </c>
      <c r="U62" s="7"/>
      <c r="V62" t="str">
        <f>_xlfn.XLOOKUP($C62,AssetLocs!$A$1:$AAH$1,AssetLocs!$A$8:$AAH$8,"") &amp; ""</f>
        <v/>
      </c>
      <c r="W62" t="str">
        <f>_xlfn.XLOOKUP($C62,AssetLocs!$A$1:$AAH$1,AssetLocs!$B$8:$AAI$8,"") &amp; ""</f>
        <v/>
      </c>
      <c r="X62" s="7"/>
      <c r="Y62" s="11" t="str">
        <f>_xlfn.XLOOKUP($C62,AssetLocs!$A$1:$AAH$1,AssetLocs!$A$9:$AAH$9,"") &amp; ""</f>
        <v/>
      </c>
      <c r="Z62" s="11" t="str">
        <f>_xlfn.XLOOKUP($C62,AssetLocs!$A$1:$AAH$1,AssetLocs!$B$9:$AAI$9,"") &amp; ""</f>
        <v/>
      </c>
      <c r="AA62" s="7"/>
      <c r="AB62" s="11" t="str">
        <f>_xlfn.XLOOKUP($C62,AssetLocs!$A$1:$AAH$1,AssetLocs!$A$10:$AAH$10,"") &amp; ""</f>
        <v/>
      </c>
      <c r="AC62" s="11" t="str">
        <f>_xlfn.XLOOKUP($C62,AssetLocs!$A$1:$AAH$1,AssetLocs!$B$10:$AAI$10,"") &amp; ""</f>
        <v/>
      </c>
      <c r="AD62" s="7"/>
    </row>
    <row r="63" spans="1:30" x14ac:dyDescent="0.2">
      <c r="A63" t="str" cm="1">
        <f t="array" aca="1" ref="A63" ca="1">INDEX(INDIRECT(VLOOKUP($C$4, RoomLocs!$A$2:$B$35,2,)),ROW()-4,COLUMN()) &amp; ""</f>
        <v/>
      </c>
      <c r="B63" t="str" cm="1">
        <f t="array" aca="1" ref="B63" ca="1">INDEX(INDIRECT(VLOOKUP($C$4, RoomLocs!$A$2:$B$35,2,)),ROW()-4,COLUMN()) &amp; ""</f>
        <v/>
      </c>
      <c r="C63" s="7"/>
      <c r="D63" t="str">
        <f>_xlfn.XLOOKUP($C63,AssetLocs!$A$1:$AAH$1,AssetLocs!$A$2:$AAH$2,"") &amp; ""</f>
        <v/>
      </c>
      <c r="E63" t="str">
        <f>_xlfn.XLOOKUP($C63,AssetLocs!$A$1:$AAH$1,AssetLocs!$B$2:$AAI$2,"") &amp; ""</f>
        <v/>
      </c>
      <c r="F63" s="7"/>
      <c r="G63" t="str">
        <f>_xlfn.XLOOKUP($C63,AssetLocs!$A$1:$AAH$1,AssetLocs!$A$3:$AAH$3,"") &amp; ""</f>
        <v/>
      </c>
      <c r="H63" t="str">
        <f>_xlfn.XLOOKUP($C63,AssetLocs!$A$1:$AAH$1,AssetLocs!$B$3:$AAI$3,"") &amp; ""</f>
        <v/>
      </c>
      <c r="I63" s="7"/>
      <c r="J63" t="str">
        <f>_xlfn.XLOOKUP($C63,AssetLocs!$A$1:$AAH$1,AssetLocs!$A$4:$AAH$4,"") &amp; ""</f>
        <v/>
      </c>
      <c r="K63" t="str">
        <f>_xlfn.XLOOKUP($C63,AssetLocs!$A$1:$AAH$1,AssetLocs!$B$4:$AAI$4,"") &amp; ""</f>
        <v/>
      </c>
      <c r="L63" s="7"/>
      <c r="M63" t="str">
        <f>_xlfn.XLOOKUP($C63,AssetLocs!$A$1:$AAH$1,AssetLocs!$A$5:$AAH$5,"") &amp; ""</f>
        <v/>
      </c>
      <c r="N63" t="str">
        <f>_xlfn.XLOOKUP($C63,AssetLocs!$A$1:$AAH$1,AssetLocs!$B$5:$AAI$5,"") &amp; ""</f>
        <v/>
      </c>
      <c r="O63" s="7"/>
      <c r="P63" t="str">
        <f>_xlfn.XLOOKUP($C63,AssetLocs!$A$1:$AAH$1,AssetLocs!$A$6:$AAH$6,"") &amp; ""</f>
        <v/>
      </c>
      <c r="Q63" t="str">
        <f>_xlfn.XLOOKUP($C63,AssetLocs!$A$1:$AAH$1,AssetLocs!$B$6:$AAI$6,"") &amp; ""</f>
        <v/>
      </c>
      <c r="R63" s="7"/>
      <c r="S63" t="str">
        <f>_xlfn.XLOOKUP($C63,AssetLocs!$A$1:$AAH$1,AssetLocs!$A$7:$AAH$7,"") &amp; ""</f>
        <v/>
      </c>
      <c r="T63" t="str">
        <f>_xlfn.XLOOKUP($C63,AssetLocs!$A$1:$AAH$1,AssetLocs!$B$7:$AAI$7,"") &amp; ""</f>
        <v/>
      </c>
      <c r="U63" s="7"/>
      <c r="V63" t="str">
        <f>_xlfn.XLOOKUP($C63,AssetLocs!$A$1:$AAH$1,AssetLocs!$A$8:$AAH$8,"") &amp; ""</f>
        <v/>
      </c>
      <c r="W63" t="str">
        <f>_xlfn.XLOOKUP($C63,AssetLocs!$A$1:$AAH$1,AssetLocs!$B$8:$AAI$8,"") &amp; ""</f>
        <v/>
      </c>
      <c r="X63" s="7"/>
      <c r="Y63" s="11" t="str">
        <f>_xlfn.XLOOKUP($C63,AssetLocs!$A$1:$AAH$1,AssetLocs!$A$9:$AAH$9,"") &amp; ""</f>
        <v/>
      </c>
      <c r="Z63" s="11" t="str">
        <f>_xlfn.XLOOKUP($C63,AssetLocs!$A$1:$AAH$1,AssetLocs!$B$9:$AAI$9,"") &amp; ""</f>
        <v/>
      </c>
      <c r="AA63" s="7"/>
      <c r="AB63" s="11" t="str">
        <f>_xlfn.XLOOKUP($C63,AssetLocs!$A$1:$AAH$1,AssetLocs!$A$10:$AAH$10,"") &amp; ""</f>
        <v/>
      </c>
      <c r="AC63" s="11" t="str">
        <f>_xlfn.XLOOKUP($C63,AssetLocs!$A$1:$AAH$1,AssetLocs!$B$10:$AAI$10,"") &amp; ""</f>
        <v/>
      </c>
      <c r="AD63" s="7"/>
    </row>
    <row r="64" spans="1:30" x14ac:dyDescent="0.2">
      <c r="A64" t="str" cm="1">
        <f t="array" aca="1" ref="A64" ca="1">INDEX(INDIRECT(VLOOKUP($C$4, RoomLocs!$A$2:$B$35,2,)),ROW()-4,COLUMN()) &amp; ""</f>
        <v/>
      </c>
      <c r="B64" t="str" cm="1">
        <f t="array" aca="1" ref="B64" ca="1">INDEX(INDIRECT(VLOOKUP($C$4, RoomLocs!$A$2:$B$35,2,)),ROW()-4,COLUMN()) &amp; ""</f>
        <v/>
      </c>
      <c r="C64" s="7"/>
      <c r="D64" t="str">
        <f>_xlfn.XLOOKUP($C64,AssetLocs!$A$1:$AAH$1,AssetLocs!$A$2:$AAH$2,"") &amp; ""</f>
        <v/>
      </c>
      <c r="E64" t="str">
        <f>_xlfn.XLOOKUP($C64,AssetLocs!$A$1:$AAH$1,AssetLocs!$B$2:$AAI$2,"") &amp; ""</f>
        <v/>
      </c>
      <c r="F64" s="7"/>
      <c r="G64" t="str">
        <f>_xlfn.XLOOKUP($C64,AssetLocs!$A$1:$AAH$1,AssetLocs!$A$3:$AAH$3,"") &amp; ""</f>
        <v/>
      </c>
      <c r="H64" t="str">
        <f>_xlfn.XLOOKUP($C64,AssetLocs!$A$1:$AAH$1,AssetLocs!$B$3:$AAI$3,"") &amp; ""</f>
        <v/>
      </c>
      <c r="I64" s="7"/>
      <c r="J64" t="str">
        <f>_xlfn.XLOOKUP($C64,AssetLocs!$A$1:$AAH$1,AssetLocs!$A$4:$AAH$4,"") &amp; ""</f>
        <v/>
      </c>
      <c r="K64" t="str">
        <f>_xlfn.XLOOKUP($C64,AssetLocs!$A$1:$AAH$1,AssetLocs!$B$4:$AAI$4,"") &amp; ""</f>
        <v/>
      </c>
      <c r="L64" s="7"/>
      <c r="M64" t="str">
        <f>_xlfn.XLOOKUP($C64,AssetLocs!$A$1:$AAH$1,AssetLocs!$A$5:$AAH$5,"") &amp; ""</f>
        <v/>
      </c>
      <c r="N64" t="str">
        <f>_xlfn.XLOOKUP($C64,AssetLocs!$A$1:$AAH$1,AssetLocs!$B$5:$AAI$5,"") &amp; ""</f>
        <v/>
      </c>
      <c r="O64" s="7"/>
      <c r="P64" t="str">
        <f>_xlfn.XLOOKUP($C64,AssetLocs!$A$1:$AAH$1,AssetLocs!$A$6:$AAH$6,"") &amp; ""</f>
        <v/>
      </c>
      <c r="Q64" t="str">
        <f>_xlfn.XLOOKUP($C64,AssetLocs!$A$1:$AAH$1,AssetLocs!$B$6:$AAI$6,"") &amp; ""</f>
        <v/>
      </c>
      <c r="R64" s="7"/>
      <c r="S64" t="str">
        <f>_xlfn.XLOOKUP($C64,AssetLocs!$A$1:$AAH$1,AssetLocs!$A$7:$AAH$7,"") &amp; ""</f>
        <v/>
      </c>
      <c r="T64" t="str">
        <f>_xlfn.XLOOKUP($C64,AssetLocs!$A$1:$AAH$1,AssetLocs!$B$7:$AAI$7,"") &amp; ""</f>
        <v/>
      </c>
      <c r="U64" s="7"/>
      <c r="V64" t="str">
        <f>_xlfn.XLOOKUP($C64,AssetLocs!$A$1:$AAH$1,AssetLocs!$A$8:$AAH$8,"") &amp; ""</f>
        <v/>
      </c>
      <c r="W64" t="str">
        <f>_xlfn.XLOOKUP($C64,AssetLocs!$A$1:$AAH$1,AssetLocs!$B$8:$AAI$8,"") &amp; ""</f>
        <v/>
      </c>
      <c r="X64" s="7"/>
      <c r="Y64" s="11" t="str">
        <f>_xlfn.XLOOKUP($C64,AssetLocs!$A$1:$AAH$1,AssetLocs!$A$9:$AAH$9,"") &amp; ""</f>
        <v/>
      </c>
      <c r="Z64" s="11" t="str">
        <f>_xlfn.XLOOKUP($C64,AssetLocs!$A$1:$AAH$1,AssetLocs!$B$9:$AAI$9,"") &amp; ""</f>
        <v/>
      </c>
      <c r="AA64" s="7"/>
      <c r="AB64" s="11" t="str">
        <f>_xlfn.XLOOKUP($C64,AssetLocs!$A$1:$AAH$1,AssetLocs!$A$10:$AAH$10,"") &amp; ""</f>
        <v/>
      </c>
      <c r="AC64" s="11" t="str">
        <f>_xlfn.XLOOKUP($C64,AssetLocs!$A$1:$AAH$1,AssetLocs!$B$10:$AAI$10,"") &amp; ""</f>
        <v/>
      </c>
      <c r="AD64" s="7"/>
    </row>
    <row r="65" spans="1:30" x14ac:dyDescent="0.2">
      <c r="A65" t="str" cm="1">
        <f t="array" aca="1" ref="A65" ca="1">INDEX(INDIRECT(VLOOKUP($C$4, RoomLocs!$A$2:$B$35,2,)),ROW()-4,COLUMN()) &amp; ""</f>
        <v/>
      </c>
      <c r="B65" t="str" cm="1">
        <f t="array" aca="1" ref="B65" ca="1">INDEX(INDIRECT(VLOOKUP($C$4, RoomLocs!$A$2:$B$35,2,)),ROW()-4,COLUMN()) &amp; ""</f>
        <v/>
      </c>
      <c r="C65" s="7"/>
      <c r="D65" t="str">
        <f>_xlfn.XLOOKUP($C65,AssetLocs!$A$1:$AAH$1,AssetLocs!$A$2:$AAH$2,"") &amp; ""</f>
        <v/>
      </c>
      <c r="E65" t="str">
        <f>_xlfn.XLOOKUP($C65,AssetLocs!$A$1:$AAH$1,AssetLocs!$B$2:$AAI$2,"") &amp; ""</f>
        <v/>
      </c>
      <c r="F65" s="7"/>
      <c r="G65" t="str">
        <f>_xlfn.XLOOKUP($C65,AssetLocs!$A$1:$AAH$1,AssetLocs!$A$3:$AAH$3,"") &amp; ""</f>
        <v/>
      </c>
      <c r="H65" t="str">
        <f>_xlfn.XLOOKUP($C65,AssetLocs!$A$1:$AAH$1,AssetLocs!$B$3:$AAI$3,"") &amp; ""</f>
        <v/>
      </c>
      <c r="I65" s="7"/>
      <c r="J65" t="str">
        <f>_xlfn.XLOOKUP($C65,AssetLocs!$A$1:$AAH$1,AssetLocs!$A$4:$AAH$4,"") &amp; ""</f>
        <v/>
      </c>
      <c r="K65" t="str">
        <f>_xlfn.XLOOKUP($C65,AssetLocs!$A$1:$AAH$1,AssetLocs!$B$4:$AAI$4,"") &amp; ""</f>
        <v/>
      </c>
      <c r="L65" s="7"/>
      <c r="M65" t="str">
        <f>_xlfn.XLOOKUP($C65,AssetLocs!$A$1:$AAH$1,AssetLocs!$A$5:$AAH$5,"") &amp; ""</f>
        <v/>
      </c>
      <c r="N65" t="str">
        <f>_xlfn.XLOOKUP($C65,AssetLocs!$A$1:$AAH$1,AssetLocs!$B$5:$AAI$5,"") &amp; ""</f>
        <v/>
      </c>
      <c r="O65" s="7"/>
      <c r="P65" t="str">
        <f>_xlfn.XLOOKUP($C65,AssetLocs!$A$1:$AAH$1,AssetLocs!$A$6:$AAH$6,"") &amp; ""</f>
        <v/>
      </c>
      <c r="Q65" t="str">
        <f>_xlfn.XLOOKUP($C65,AssetLocs!$A$1:$AAH$1,AssetLocs!$B$6:$AAI$6,"") &amp; ""</f>
        <v/>
      </c>
      <c r="R65" s="7"/>
      <c r="S65" t="str">
        <f>_xlfn.XLOOKUP($C65,AssetLocs!$A$1:$AAH$1,AssetLocs!$A$7:$AAH$7,"") &amp; ""</f>
        <v/>
      </c>
      <c r="T65" t="str">
        <f>_xlfn.XLOOKUP($C65,AssetLocs!$A$1:$AAH$1,AssetLocs!$B$7:$AAI$7,"") &amp; ""</f>
        <v/>
      </c>
      <c r="U65" s="7"/>
      <c r="V65" t="str">
        <f>_xlfn.XLOOKUP($C65,AssetLocs!$A$1:$AAH$1,AssetLocs!$A$8:$AAH$8,"") &amp; ""</f>
        <v/>
      </c>
      <c r="W65" t="str">
        <f>_xlfn.XLOOKUP($C65,AssetLocs!$A$1:$AAH$1,AssetLocs!$B$8:$AAI$8,"") &amp; ""</f>
        <v/>
      </c>
      <c r="X65" s="7"/>
      <c r="Y65" s="11" t="str">
        <f>_xlfn.XLOOKUP($C65,AssetLocs!$A$1:$AAH$1,AssetLocs!$A$9:$AAH$9,"") &amp; ""</f>
        <v/>
      </c>
      <c r="Z65" s="11" t="str">
        <f>_xlfn.XLOOKUP($C65,AssetLocs!$A$1:$AAH$1,AssetLocs!$B$9:$AAI$9,"") &amp; ""</f>
        <v/>
      </c>
      <c r="AA65" s="7"/>
      <c r="AB65" s="11" t="str">
        <f>_xlfn.XLOOKUP($C65,AssetLocs!$A$1:$AAH$1,AssetLocs!$A$10:$AAH$10,"") &amp; ""</f>
        <v/>
      </c>
      <c r="AC65" s="11" t="str">
        <f>_xlfn.XLOOKUP($C65,AssetLocs!$A$1:$AAH$1,AssetLocs!$B$10:$AAI$10,"") &amp; ""</f>
        <v/>
      </c>
      <c r="AD65" s="7"/>
    </row>
    <row r="66" spans="1:30" x14ac:dyDescent="0.2">
      <c r="A66" t="str" cm="1">
        <f t="array" aca="1" ref="A66" ca="1">INDEX(INDIRECT(VLOOKUP($C$4, RoomLocs!$A$2:$B$35,2,)),ROW()-4,COLUMN()) &amp; ""</f>
        <v/>
      </c>
      <c r="B66" t="str" cm="1">
        <f t="array" aca="1" ref="B66" ca="1">INDEX(INDIRECT(VLOOKUP($C$4, RoomLocs!$A$2:$B$35,2,)),ROW()-4,COLUMN()) &amp; ""</f>
        <v/>
      </c>
      <c r="C66" s="7"/>
      <c r="D66" t="str">
        <f>_xlfn.XLOOKUP($C66,AssetLocs!$A$1:$AAH$1,AssetLocs!$A$2:$AAH$2,"") &amp; ""</f>
        <v/>
      </c>
      <c r="E66" t="str">
        <f>_xlfn.XLOOKUP($C66,AssetLocs!$A$1:$AAH$1,AssetLocs!$B$2:$AAI$2,"") &amp; ""</f>
        <v/>
      </c>
      <c r="F66" s="7"/>
      <c r="G66" t="str">
        <f>_xlfn.XLOOKUP($C66,AssetLocs!$A$1:$AAH$1,AssetLocs!$A$3:$AAH$3,"") &amp; ""</f>
        <v/>
      </c>
      <c r="H66" t="str">
        <f>_xlfn.XLOOKUP($C66,AssetLocs!$A$1:$AAH$1,AssetLocs!$B$3:$AAI$3,"") &amp; ""</f>
        <v/>
      </c>
      <c r="I66" s="7"/>
      <c r="J66" t="str">
        <f>_xlfn.XLOOKUP($C66,AssetLocs!$A$1:$AAH$1,AssetLocs!$A$4:$AAH$4,"") &amp; ""</f>
        <v/>
      </c>
      <c r="K66" t="str">
        <f>_xlfn.XLOOKUP($C66,AssetLocs!$A$1:$AAH$1,AssetLocs!$B$4:$AAI$4,"") &amp; ""</f>
        <v/>
      </c>
      <c r="L66" s="7"/>
      <c r="M66" t="str">
        <f>_xlfn.XLOOKUP($C66,AssetLocs!$A$1:$AAH$1,AssetLocs!$A$5:$AAH$5,"") &amp; ""</f>
        <v/>
      </c>
      <c r="N66" t="str">
        <f>_xlfn.XLOOKUP($C66,AssetLocs!$A$1:$AAH$1,AssetLocs!$B$5:$AAI$5,"") &amp; ""</f>
        <v/>
      </c>
      <c r="O66" s="7"/>
      <c r="P66" t="str">
        <f>_xlfn.XLOOKUP($C66,AssetLocs!$A$1:$AAH$1,AssetLocs!$A$6:$AAH$6,"") &amp; ""</f>
        <v/>
      </c>
      <c r="Q66" t="str">
        <f>_xlfn.XLOOKUP($C66,AssetLocs!$A$1:$AAH$1,AssetLocs!$B$6:$AAI$6,"") &amp; ""</f>
        <v/>
      </c>
      <c r="R66" s="7"/>
      <c r="S66" t="str">
        <f>_xlfn.XLOOKUP($C66,AssetLocs!$A$1:$AAH$1,AssetLocs!$A$7:$AAH$7,"") &amp; ""</f>
        <v/>
      </c>
      <c r="T66" t="str">
        <f>_xlfn.XLOOKUP($C66,AssetLocs!$A$1:$AAH$1,AssetLocs!$B$7:$AAI$7,"") &amp; ""</f>
        <v/>
      </c>
      <c r="U66" s="7"/>
      <c r="V66" t="str">
        <f>_xlfn.XLOOKUP($C66,AssetLocs!$A$1:$AAH$1,AssetLocs!$A$8:$AAH$8,"") &amp; ""</f>
        <v/>
      </c>
      <c r="W66" t="str">
        <f>_xlfn.XLOOKUP($C66,AssetLocs!$A$1:$AAH$1,AssetLocs!$B$8:$AAI$8,"") &amp; ""</f>
        <v/>
      </c>
      <c r="X66" s="7"/>
      <c r="Y66" s="11" t="str">
        <f>_xlfn.XLOOKUP($C66,AssetLocs!$A$1:$AAH$1,AssetLocs!$A$9:$AAH$9,"") &amp; ""</f>
        <v/>
      </c>
      <c r="Z66" s="11" t="str">
        <f>_xlfn.XLOOKUP($C66,AssetLocs!$A$1:$AAH$1,AssetLocs!$B$9:$AAI$9,"") &amp; ""</f>
        <v/>
      </c>
      <c r="AA66" s="7"/>
      <c r="AB66" s="11" t="str">
        <f>_xlfn.XLOOKUP($C66,AssetLocs!$A$1:$AAH$1,AssetLocs!$A$10:$AAH$10,"") &amp; ""</f>
        <v/>
      </c>
      <c r="AC66" s="11" t="str">
        <f>_xlfn.XLOOKUP($C66,AssetLocs!$A$1:$AAH$1,AssetLocs!$B$10:$AAI$10,"") &amp; ""</f>
        <v/>
      </c>
      <c r="AD66" s="7"/>
    </row>
    <row r="67" spans="1:30" x14ac:dyDescent="0.2">
      <c r="A67" t="str" cm="1">
        <f t="array" aca="1" ref="A67" ca="1">INDEX(INDIRECT(VLOOKUP($C$4, RoomLocs!$A$2:$B$35,2,)),ROW()-4,COLUMN()) &amp; ""</f>
        <v/>
      </c>
      <c r="B67" t="str" cm="1">
        <f t="array" aca="1" ref="B67" ca="1">INDEX(INDIRECT(VLOOKUP($C$4, RoomLocs!$A$2:$B$35,2,)),ROW()-4,COLUMN()) &amp; ""</f>
        <v/>
      </c>
      <c r="C67" s="7"/>
      <c r="D67" t="str">
        <f>_xlfn.XLOOKUP($C67,AssetLocs!$A$1:$AAH$1,AssetLocs!$A$2:$AAH$2,"") &amp; ""</f>
        <v/>
      </c>
      <c r="E67" t="str">
        <f>_xlfn.XLOOKUP($C67,AssetLocs!$A$1:$AAH$1,AssetLocs!$B$2:$AAI$2,"") &amp; ""</f>
        <v/>
      </c>
      <c r="F67" s="7"/>
      <c r="G67" t="str">
        <f>_xlfn.XLOOKUP($C67,AssetLocs!$A$1:$AAH$1,AssetLocs!$A$3:$AAH$3,"") &amp; ""</f>
        <v/>
      </c>
      <c r="H67" t="str">
        <f>_xlfn.XLOOKUP($C67,AssetLocs!$A$1:$AAH$1,AssetLocs!$B$3:$AAI$3,"") &amp; ""</f>
        <v/>
      </c>
      <c r="I67" s="7"/>
      <c r="J67" t="str">
        <f>_xlfn.XLOOKUP($C67,AssetLocs!$A$1:$AAH$1,AssetLocs!$A$4:$AAH$4,"") &amp; ""</f>
        <v/>
      </c>
      <c r="K67" t="str">
        <f>_xlfn.XLOOKUP($C67,AssetLocs!$A$1:$AAH$1,AssetLocs!$B$4:$AAI$4,"") &amp; ""</f>
        <v/>
      </c>
      <c r="L67" s="7"/>
      <c r="M67" t="str">
        <f>_xlfn.XLOOKUP($C67,AssetLocs!$A$1:$AAH$1,AssetLocs!$A$5:$AAH$5,"") &amp; ""</f>
        <v/>
      </c>
      <c r="N67" t="str">
        <f>_xlfn.XLOOKUP($C67,AssetLocs!$A$1:$AAH$1,AssetLocs!$B$5:$AAI$5,"") &amp; ""</f>
        <v/>
      </c>
      <c r="O67" s="7"/>
      <c r="P67" t="str">
        <f>_xlfn.XLOOKUP($C67,AssetLocs!$A$1:$AAH$1,AssetLocs!$A$6:$AAH$6,"") &amp; ""</f>
        <v/>
      </c>
      <c r="Q67" t="str">
        <f>_xlfn.XLOOKUP($C67,AssetLocs!$A$1:$AAH$1,AssetLocs!$B$6:$AAI$6,"") &amp; ""</f>
        <v/>
      </c>
      <c r="R67" s="7"/>
      <c r="S67" t="str">
        <f>_xlfn.XLOOKUP($C67,AssetLocs!$A$1:$AAH$1,AssetLocs!$A$7:$AAH$7,"") &amp; ""</f>
        <v/>
      </c>
      <c r="T67" t="str">
        <f>_xlfn.XLOOKUP($C67,AssetLocs!$A$1:$AAH$1,AssetLocs!$B$7:$AAI$7,"") &amp; ""</f>
        <v/>
      </c>
      <c r="U67" s="7"/>
      <c r="V67" t="str">
        <f>_xlfn.XLOOKUP($C67,AssetLocs!$A$1:$AAH$1,AssetLocs!$A$8:$AAH$8,"") &amp; ""</f>
        <v/>
      </c>
      <c r="W67" t="str">
        <f>_xlfn.XLOOKUP($C67,AssetLocs!$A$1:$AAH$1,AssetLocs!$B$8:$AAI$8,"") &amp; ""</f>
        <v/>
      </c>
      <c r="X67" s="7"/>
      <c r="Y67" s="11" t="str">
        <f>_xlfn.XLOOKUP($C67,AssetLocs!$A$1:$AAH$1,AssetLocs!$A$9:$AAH$9,"") &amp; ""</f>
        <v/>
      </c>
      <c r="Z67" s="11" t="str">
        <f>_xlfn.XLOOKUP($C67,AssetLocs!$A$1:$AAH$1,AssetLocs!$B$9:$AAI$9,"") &amp; ""</f>
        <v/>
      </c>
      <c r="AA67" s="7"/>
      <c r="AB67" s="11" t="str">
        <f>_xlfn.XLOOKUP($C67,AssetLocs!$A$1:$AAH$1,AssetLocs!$A$10:$AAH$10,"") &amp; ""</f>
        <v/>
      </c>
      <c r="AC67" s="11" t="str">
        <f>_xlfn.XLOOKUP($C67,AssetLocs!$A$1:$AAH$1,AssetLocs!$B$10:$AAI$10,"") &amp; ""</f>
        <v/>
      </c>
      <c r="AD67" s="7"/>
    </row>
    <row r="68" spans="1:30" x14ac:dyDescent="0.2">
      <c r="A68" t="str" cm="1">
        <f t="array" aca="1" ref="A68" ca="1">INDEX(INDIRECT(VLOOKUP($C$4, RoomLocs!$A$2:$B$35,2,)),ROW()-4,COLUMN()) &amp; ""</f>
        <v/>
      </c>
      <c r="B68" t="str" cm="1">
        <f t="array" aca="1" ref="B68" ca="1">INDEX(INDIRECT(VLOOKUP($C$4, RoomLocs!$A$2:$B$35,2,)),ROW()-4,COLUMN()) &amp; ""</f>
        <v/>
      </c>
      <c r="C68" s="7"/>
      <c r="D68" t="str">
        <f>_xlfn.XLOOKUP($C68,AssetLocs!$A$1:$AAH$1,AssetLocs!$A$2:$AAH$2,"") &amp; ""</f>
        <v/>
      </c>
      <c r="E68" t="str">
        <f>_xlfn.XLOOKUP($C68,AssetLocs!$A$1:$AAH$1,AssetLocs!$B$2:$AAI$2,"") &amp; ""</f>
        <v/>
      </c>
      <c r="F68" s="7"/>
      <c r="G68" t="str">
        <f>_xlfn.XLOOKUP($C68,AssetLocs!$A$1:$AAH$1,AssetLocs!$A$3:$AAH$3,"") &amp; ""</f>
        <v/>
      </c>
      <c r="H68" t="str">
        <f>_xlfn.XLOOKUP($C68,AssetLocs!$A$1:$AAH$1,AssetLocs!$B$3:$AAI$3,"") &amp; ""</f>
        <v/>
      </c>
      <c r="I68" s="7"/>
      <c r="J68" t="str">
        <f>_xlfn.XLOOKUP($C68,AssetLocs!$A$1:$AAH$1,AssetLocs!$A$4:$AAH$4,"") &amp; ""</f>
        <v/>
      </c>
      <c r="K68" t="str">
        <f>_xlfn.XLOOKUP($C68,AssetLocs!$A$1:$AAH$1,AssetLocs!$B$4:$AAI$4,"") &amp; ""</f>
        <v/>
      </c>
      <c r="L68" s="7"/>
      <c r="M68" t="str">
        <f>_xlfn.XLOOKUP($C68,AssetLocs!$A$1:$AAH$1,AssetLocs!$A$5:$AAH$5,"") &amp; ""</f>
        <v/>
      </c>
      <c r="N68" t="str">
        <f>_xlfn.XLOOKUP($C68,AssetLocs!$A$1:$AAH$1,AssetLocs!$B$5:$AAI$5,"") &amp; ""</f>
        <v/>
      </c>
      <c r="O68" s="7"/>
      <c r="P68" t="str">
        <f>_xlfn.XLOOKUP($C68,AssetLocs!$A$1:$AAH$1,AssetLocs!$A$6:$AAH$6,"") &amp; ""</f>
        <v/>
      </c>
      <c r="Q68" t="str">
        <f>_xlfn.XLOOKUP($C68,AssetLocs!$A$1:$AAH$1,AssetLocs!$B$6:$AAI$6,"") &amp; ""</f>
        <v/>
      </c>
      <c r="R68" s="7"/>
      <c r="S68" t="str">
        <f>_xlfn.XLOOKUP($C68,AssetLocs!$A$1:$AAH$1,AssetLocs!$A$7:$AAH$7,"") &amp; ""</f>
        <v/>
      </c>
      <c r="T68" t="str">
        <f>_xlfn.XLOOKUP($C68,AssetLocs!$A$1:$AAH$1,AssetLocs!$B$7:$AAI$7,"") &amp; ""</f>
        <v/>
      </c>
      <c r="U68" s="7"/>
      <c r="V68" t="str">
        <f>_xlfn.XLOOKUP($C68,AssetLocs!$A$1:$AAH$1,AssetLocs!$A$8:$AAH$8,"") &amp; ""</f>
        <v/>
      </c>
      <c r="W68" t="str">
        <f>_xlfn.XLOOKUP($C68,AssetLocs!$A$1:$AAH$1,AssetLocs!$B$8:$AAI$8,"") &amp; ""</f>
        <v/>
      </c>
      <c r="X68" s="7"/>
      <c r="Y68" s="11" t="str">
        <f>_xlfn.XLOOKUP($C68,AssetLocs!$A$1:$AAH$1,AssetLocs!$A$9:$AAH$9,"") &amp; ""</f>
        <v/>
      </c>
      <c r="Z68" s="11" t="str">
        <f>_xlfn.XLOOKUP($C68,AssetLocs!$A$1:$AAH$1,AssetLocs!$B$9:$AAI$9,"") &amp; ""</f>
        <v/>
      </c>
      <c r="AA68" s="7"/>
      <c r="AB68" s="11" t="str">
        <f>_xlfn.XLOOKUP($C68,AssetLocs!$A$1:$AAH$1,AssetLocs!$A$10:$AAH$10,"") &amp; ""</f>
        <v/>
      </c>
      <c r="AC68" s="11" t="str">
        <f>_xlfn.XLOOKUP($C68,AssetLocs!$A$1:$AAH$1,AssetLocs!$B$10:$AAI$10,"") &amp; ""</f>
        <v/>
      </c>
      <c r="AD68" s="7"/>
    </row>
    <row r="69" spans="1:30" x14ac:dyDescent="0.2">
      <c r="A69" t="str" cm="1">
        <f t="array" aca="1" ref="A69" ca="1">INDEX(INDIRECT(VLOOKUP($C$4, RoomLocs!$A$2:$B$35,2,)),ROW()-4,COLUMN()) &amp; ""</f>
        <v/>
      </c>
      <c r="B69" t="str" cm="1">
        <f t="array" aca="1" ref="B69" ca="1">INDEX(INDIRECT(VLOOKUP($C$4, RoomLocs!$A$2:$B$35,2,)),ROW()-4,COLUMN()) &amp; ""</f>
        <v/>
      </c>
      <c r="C69" s="7"/>
      <c r="D69" t="str">
        <f>_xlfn.XLOOKUP($C69,AssetLocs!$A$1:$AAH$1,AssetLocs!$A$2:$AAH$2,"") &amp; ""</f>
        <v/>
      </c>
      <c r="E69" t="str">
        <f>_xlfn.XLOOKUP($C69,AssetLocs!$A$1:$AAH$1,AssetLocs!$B$2:$AAI$2,"") &amp; ""</f>
        <v/>
      </c>
      <c r="F69" s="7"/>
      <c r="G69" t="str">
        <f>_xlfn.XLOOKUP($C69,AssetLocs!$A$1:$AAH$1,AssetLocs!$A$3:$AAH$3,"") &amp; ""</f>
        <v/>
      </c>
      <c r="H69" t="str">
        <f>_xlfn.XLOOKUP($C69,AssetLocs!$A$1:$AAH$1,AssetLocs!$B$3:$AAI$3,"") &amp; ""</f>
        <v/>
      </c>
      <c r="I69" s="7"/>
      <c r="J69" t="str">
        <f>_xlfn.XLOOKUP($C69,AssetLocs!$A$1:$AAH$1,AssetLocs!$A$4:$AAH$4,"") &amp; ""</f>
        <v/>
      </c>
      <c r="K69" t="str">
        <f>_xlfn.XLOOKUP($C69,AssetLocs!$A$1:$AAH$1,AssetLocs!$B$4:$AAI$4,"") &amp; ""</f>
        <v/>
      </c>
      <c r="L69" s="7"/>
      <c r="M69" t="str">
        <f>_xlfn.XLOOKUP($C69,AssetLocs!$A$1:$AAH$1,AssetLocs!$A$5:$AAH$5,"") &amp; ""</f>
        <v/>
      </c>
      <c r="N69" t="str">
        <f>_xlfn.XLOOKUP($C69,AssetLocs!$A$1:$AAH$1,AssetLocs!$B$5:$AAI$5,"") &amp; ""</f>
        <v/>
      </c>
      <c r="O69" s="7"/>
      <c r="P69" t="str">
        <f>_xlfn.XLOOKUP($C69,AssetLocs!$A$1:$AAH$1,AssetLocs!$A$6:$AAH$6,"") &amp; ""</f>
        <v/>
      </c>
      <c r="Q69" t="str">
        <f>_xlfn.XLOOKUP($C69,AssetLocs!$A$1:$AAH$1,AssetLocs!$B$6:$AAI$6,"") &amp; ""</f>
        <v/>
      </c>
      <c r="R69" s="7"/>
      <c r="S69" t="str">
        <f>_xlfn.XLOOKUP($C69,AssetLocs!$A$1:$AAH$1,AssetLocs!$A$7:$AAH$7,"") &amp; ""</f>
        <v/>
      </c>
      <c r="T69" t="str">
        <f>_xlfn.XLOOKUP($C69,AssetLocs!$A$1:$AAH$1,AssetLocs!$B$7:$AAI$7,"") &amp; ""</f>
        <v/>
      </c>
      <c r="U69" s="7"/>
      <c r="V69" t="str">
        <f>_xlfn.XLOOKUP($C69,AssetLocs!$A$1:$AAH$1,AssetLocs!$A$8:$AAH$8,"") &amp; ""</f>
        <v/>
      </c>
      <c r="W69" t="str">
        <f>_xlfn.XLOOKUP($C69,AssetLocs!$A$1:$AAH$1,AssetLocs!$B$8:$AAI$8,"") &amp; ""</f>
        <v/>
      </c>
      <c r="X69" s="7"/>
      <c r="Y69" s="11" t="str">
        <f>_xlfn.XLOOKUP($C69,AssetLocs!$A$1:$AAH$1,AssetLocs!$A$9:$AAH$9,"") &amp; ""</f>
        <v/>
      </c>
      <c r="Z69" s="11" t="str">
        <f>_xlfn.XLOOKUP($C69,AssetLocs!$A$1:$AAH$1,AssetLocs!$B$9:$AAI$9,"") &amp; ""</f>
        <v/>
      </c>
      <c r="AA69" s="7"/>
      <c r="AB69" s="11" t="str">
        <f>_xlfn.XLOOKUP($C69,AssetLocs!$A$1:$AAH$1,AssetLocs!$A$10:$AAH$10,"") &amp; ""</f>
        <v/>
      </c>
      <c r="AC69" s="11" t="str">
        <f>_xlfn.XLOOKUP($C69,AssetLocs!$A$1:$AAH$1,AssetLocs!$B$10:$AAI$10,"") &amp; ""</f>
        <v/>
      </c>
      <c r="AD69" s="7"/>
    </row>
    <row r="70" spans="1:30" x14ac:dyDescent="0.2">
      <c r="A70" t="str" cm="1">
        <f t="array" aca="1" ref="A70" ca="1">INDEX(INDIRECT(VLOOKUP($C$4, RoomLocs!$A$2:$B$35,2,)),ROW()-4,COLUMN()) &amp; ""</f>
        <v/>
      </c>
      <c r="B70" t="str" cm="1">
        <f t="array" aca="1" ref="B70" ca="1">INDEX(INDIRECT(VLOOKUP($C$4, RoomLocs!$A$2:$B$35,2,)),ROW()-4,COLUMN()) &amp; ""</f>
        <v/>
      </c>
      <c r="C70" s="7"/>
      <c r="D70" t="str">
        <f>_xlfn.XLOOKUP($C70,AssetLocs!$A$1:$AAH$1,AssetLocs!$A$2:$AAH$2,"") &amp; ""</f>
        <v/>
      </c>
      <c r="E70" t="str">
        <f>_xlfn.XLOOKUP($C70,AssetLocs!$A$1:$AAH$1,AssetLocs!$B$2:$AAI$2,"") &amp; ""</f>
        <v/>
      </c>
      <c r="F70" s="7"/>
      <c r="G70" t="str">
        <f>_xlfn.XLOOKUP($C70,AssetLocs!$A$1:$AAH$1,AssetLocs!$A$3:$AAH$3,"") &amp; ""</f>
        <v/>
      </c>
      <c r="H70" t="str">
        <f>_xlfn.XLOOKUP($C70,AssetLocs!$A$1:$AAH$1,AssetLocs!$B$3:$AAI$3,"") &amp; ""</f>
        <v/>
      </c>
      <c r="I70" s="7"/>
      <c r="J70" t="str">
        <f>_xlfn.XLOOKUP($C70,AssetLocs!$A$1:$AAH$1,AssetLocs!$A$4:$AAH$4,"") &amp; ""</f>
        <v/>
      </c>
      <c r="K70" t="str">
        <f>_xlfn.XLOOKUP($C70,AssetLocs!$A$1:$AAH$1,AssetLocs!$B$4:$AAI$4,"") &amp; ""</f>
        <v/>
      </c>
      <c r="L70" s="7"/>
      <c r="M70" t="str">
        <f>_xlfn.XLOOKUP($C70,AssetLocs!$A$1:$AAH$1,AssetLocs!$A$5:$AAH$5,"") &amp; ""</f>
        <v/>
      </c>
      <c r="N70" t="str">
        <f>_xlfn.XLOOKUP($C70,AssetLocs!$A$1:$AAH$1,AssetLocs!$B$5:$AAI$5,"") &amp; ""</f>
        <v/>
      </c>
      <c r="O70" s="7"/>
      <c r="P70" t="str">
        <f>_xlfn.XLOOKUP($C70,AssetLocs!$A$1:$AAH$1,AssetLocs!$A$6:$AAH$6,"") &amp; ""</f>
        <v/>
      </c>
      <c r="Q70" t="str">
        <f>_xlfn.XLOOKUP($C70,AssetLocs!$A$1:$AAH$1,AssetLocs!$B$6:$AAI$6,"") &amp; ""</f>
        <v/>
      </c>
      <c r="R70" s="7"/>
      <c r="S70" t="str">
        <f>_xlfn.XLOOKUP($C70,AssetLocs!$A$1:$AAH$1,AssetLocs!$A$7:$AAH$7,"") &amp; ""</f>
        <v/>
      </c>
      <c r="T70" t="str">
        <f>_xlfn.XLOOKUP($C70,AssetLocs!$A$1:$AAH$1,AssetLocs!$B$7:$AAI$7,"") &amp; ""</f>
        <v/>
      </c>
      <c r="U70" s="7"/>
      <c r="V70" t="str">
        <f>_xlfn.XLOOKUP($C70,AssetLocs!$A$1:$AAH$1,AssetLocs!$A$8:$AAH$8,"") &amp; ""</f>
        <v/>
      </c>
      <c r="W70" t="str">
        <f>_xlfn.XLOOKUP($C70,AssetLocs!$A$1:$AAH$1,AssetLocs!$B$8:$AAI$8,"") &amp; ""</f>
        <v/>
      </c>
      <c r="X70" s="7"/>
      <c r="Y70" s="11" t="str">
        <f>_xlfn.XLOOKUP($C70,AssetLocs!$A$1:$AAH$1,AssetLocs!$A$9:$AAH$9,"") &amp; ""</f>
        <v/>
      </c>
      <c r="Z70" s="11" t="str">
        <f>_xlfn.XLOOKUP($C70,AssetLocs!$A$1:$AAH$1,AssetLocs!$B$9:$AAI$9,"") &amp; ""</f>
        <v/>
      </c>
      <c r="AA70" s="7"/>
      <c r="AB70" s="11" t="str">
        <f>_xlfn.XLOOKUP($C70,AssetLocs!$A$1:$AAH$1,AssetLocs!$A$10:$AAH$10,"") &amp; ""</f>
        <v/>
      </c>
      <c r="AC70" s="11" t="str">
        <f>_xlfn.XLOOKUP($C70,AssetLocs!$A$1:$AAH$1,AssetLocs!$B$10:$AAI$10,"") &amp; ""</f>
        <v/>
      </c>
      <c r="AD70" s="7"/>
    </row>
    <row r="71" spans="1:30" x14ac:dyDescent="0.2">
      <c r="A71" t="str" cm="1">
        <f t="array" aca="1" ref="A71" ca="1">INDEX(INDIRECT(VLOOKUP($C$4, RoomLocs!$A$2:$B$35,2,)),ROW()-4,COLUMN()) &amp; ""</f>
        <v/>
      </c>
      <c r="B71" t="str" cm="1">
        <f t="array" aca="1" ref="B71" ca="1">INDEX(INDIRECT(VLOOKUP($C$4, RoomLocs!$A$2:$B$35,2,)),ROW()-4,COLUMN()) &amp; ""</f>
        <v/>
      </c>
      <c r="C71" s="7"/>
      <c r="D71" t="str">
        <f>_xlfn.XLOOKUP($C71,AssetLocs!$A$1:$AAH$1,AssetLocs!$A$2:$AAH$2,"") &amp; ""</f>
        <v/>
      </c>
      <c r="E71" t="str">
        <f>_xlfn.XLOOKUP($C71,AssetLocs!$A$1:$AAH$1,AssetLocs!$B$2:$AAI$2,"") &amp; ""</f>
        <v/>
      </c>
      <c r="F71" s="7"/>
      <c r="G71" t="str">
        <f>_xlfn.XLOOKUP($C71,AssetLocs!$A$1:$AAH$1,AssetLocs!$A$3:$AAH$3,"") &amp; ""</f>
        <v/>
      </c>
      <c r="H71" t="str">
        <f>_xlfn.XLOOKUP($C71,AssetLocs!$A$1:$AAH$1,AssetLocs!$B$3:$AAI$3,"") &amp; ""</f>
        <v/>
      </c>
      <c r="I71" s="7"/>
      <c r="J71" t="str">
        <f>_xlfn.XLOOKUP($C71,AssetLocs!$A$1:$AAH$1,AssetLocs!$A$4:$AAH$4,"") &amp; ""</f>
        <v/>
      </c>
      <c r="K71" t="str">
        <f>_xlfn.XLOOKUP($C71,AssetLocs!$A$1:$AAH$1,AssetLocs!$B$4:$AAI$4,"") &amp; ""</f>
        <v/>
      </c>
      <c r="L71" s="7"/>
      <c r="M71" t="str">
        <f>_xlfn.XLOOKUP($C71,AssetLocs!$A$1:$AAH$1,AssetLocs!$A$5:$AAH$5,"") &amp; ""</f>
        <v/>
      </c>
      <c r="N71" t="str">
        <f>_xlfn.XLOOKUP($C71,AssetLocs!$A$1:$AAH$1,AssetLocs!$B$5:$AAI$5,"") &amp; ""</f>
        <v/>
      </c>
      <c r="O71" s="7"/>
      <c r="P71" t="str">
        <f>_xlfn.XLOOKUP($C71,AssetLocs!$A$1:$AAH$1,AssetLocs!$A$6:$AAH$6,"") &amp; ""</f>
        <v/>
      </c>
      <c r="Q71" t="str">
        <f>_xlfn.XLOOKUP($C71,AssetLocs!$A$1:$AAH$1,AssetLocs!$B$6:$AAI$6,"") &amp; ""</f>
        <v/>
      </c>
      <c r="R71" s="7"/>
      <c r="S71" t="str">
        <f>_xlfn.XLOOKUP($C71,AssetLocs!$A$1:$AAH$1,AssetLocs!$A$7:$AAH$7,"") &amp; ""</f>
        <v/>
      </c>
      <c r="T71" t="str">
        <f>_xlfn.XLOOKUP($C71,AssetLocs!$A$1:$AAH$1,AssetLocs!$B$7:$AAI$7,"") &amp; ""</f>
        <v/>
      </c>
      <c r="U71" s="7"/>
      <c r="V71" t="str">
        <f>_xlfn.XLOOKUP($C71,AssetLocs!$A$1:$AAH$1,AssetLocs!$A$8:$AAH$8,"") &amp; ""</f>
        <v/>
      </c>
      <c r="W71" t="str">
        <f>_xlfn.XLOOKUP($C71,AssetLocs!$A$1:$AAH$1,AssetLocs!$B$8:$AAI$8,"") &amp; ""</f>
        <v/>
      </c>
      <c r="X71" s="7"/>
      <c r="Y71" s="11" t="str">
        <f>_xlfn.XLOOKUP($C71,AssetLocs!$A$1:$AAH$1,AssetLocs!$A$9:$AAH$9,"") &amp; ""</f>
        <v/>
      </c>
      <c r="Z71" s="11" t="str">
        <f>_xlfn.XLOOKUP($C71,AssetLocs!$A$1:$AAH$1,AssetLocs!$B$9:$AAI$9,"") &amp; ""</f>
        <v/>
      </c>
      <c r="AA71" s="7"/>
      <c r="AB71" s="11" t="str">
        <f>_xlfn.XLOOKUP($C71,AssetLocs!$A$1:$AAH$1,AssetLocs!$A$10:$AAH$10,"") &amp; ""</f>
        <v/>
      </c>
      <c r="AC71" s="11" t="str">
        <f>_xlfn.XLOOKUP($C71,AssetLocs!$A$1:$AAH$1,AssetLocs!$B$10:$AAI$10,"") &amp; ""</f>
        <v/>
      </c>
      <c r="AD71" s="7"/>
    </row>
    <row r="72" spans="1:30" x14ac:dyDescent="0.2">
      <c r="A72" t="str" cm="1">
        <f t="array" aca="1" ref="A72" ca="1">INDEX(INDIRECT(VLOOKUP($C$4, RoomLocs!$A$2:$B$35,2,)),ROW()-4,COLUMN()) &amp; ""</f>
        <v/>
      </c>
      <c r="B72" t="str" cm="1">
        <f t="array" aca="1" ref="B72" ca="1">INDEX(INDIRECT(VLOOKUP($C$4, RoomLocs!$A$2:$B$35,2,)),ROW()-4,COLUMN()) &amp; ""</f>
        <v/>
      </c>
      <c r="C72" s="7"/>
      <c r="D72" t="str">
        <f>_xlfn.XLOOKUP($C72,AssetLocs!$A$1:$AAH$1,AssetLocs!$A$2:$AAH$2,"") &amp; ""</f>
        <v/>
      </c>
      <c r="E72" t="str">
        <f>_xlfn.XLOOKUP($C72,AssetLocs!$A$1:$AAH$1,AssetLocs!$B$2:$AAI$2,"") &amp; ""</f>
        <v/>
      </c>
      <c r="F72" s="7"/>
      <c r="G72" t="str">
        <f>_xlfn.XLOOKUP($C72,AssetLocs!$A$1:$AAH$1,AssetLocs!$A$3:$AAH$3,"") &amp; ""</f>
        <v/>
      </c>
      <c r="H72" t="str">
        <f>_xlfn.XLOOKUP($C72,AssetLocs!$A$1:$AAH$1,AssetLocs!$B$3:$AAI$3,"") &amp; ""</f>
        <v/>
      </c>
      <c r="I72" s="7"/>
      <c r="J72" t="str">
        <f>_xlfn.XLOOKUP($C72,AssetLocs!$A$1:$AAH$1,AssetLocs!$A$4:$AAH$4,"") &amp; ""</f>
        <v/>
      </c>
      <c r="K72" t="str">
        <f>_xlfn.XLOOKUP($C72,AssetLocs!$A$1:$AAH$1,AssetLocs!$B$4:$AAI$4,"") &amp; ""</f>
        <v/>
      </c>
      <c r="L72" s="7"/>
      <c r="M72" t="str">
        <f>_xlfn.XLOOKUP($C72,AssetLocs!$A$1:$AAH$1,AssetLocs!$A$5:$AAH$5,"") &amp; ""</f>
        <v/>
      </c>
      <c r="N72" t="str">
        <f>_xlfn.XLOOKUP($C72,AssetLocs!$A$1:$AAH$1,AssetLocs!$B$5:$AAI$5,"") &amp; ""</f>
        <v/>
      </c>
      <c r="O72" s="7"/>
      <c r="P72" t="str">
        <f>_xlfn.XLOOKUP($C72,AssetLocs!$A$1:$AAH$1,AssetLocs!$A$6:$AAH$6,"") &amp; ""</f>
        <v/>
      </c>
      <c r="Q72" t="str">
        <f>_xlfn.XLOOKUP($C72,AssetLocs!$A$1:$AAH$1,AssetLocs!$B$6:$AAI$6,"") &amp; ""</f>
        <v/>
      </c>
      <c r="R72" s="7"/>
      <c r="S72" t="str">
        <f>_xlfn.XLOOKUP($C72,AssetLocs!$A$1:$AAH$1,AssetLocs!$A$7:$AAH$7,"") &amp; ""</f>
        <v/>
      </c>
      <c r="T72" t="str">
        <f>_xlfn.XLOOKUP($C72,AssetLocs!$A$1:$AAH$1,AssetLocs!$B$7:$AAI$7,"") &amp; ""</f>
        <v/>
      </c>
      <c r="U72" s="7"/>
      <c r="V72" t="str">
        <f>_xlfn.XLOOKUP($C72,AssetLocs!$A$1:$AAH$1,AssetLocs!$A$8:$AAH$8,"") &amp; ""</f>
        <v/>
      </c>
      <c r="W72" t="str">
        <f>_xlfn.XLOOKUP($C72,AssetLocs!$A$1:$AAH$1,AssetLocs!$B$8:$AAI$8,"") &amp; ""</f>
        <v/>
      </c>
      <c r="X72" s="7"/>
      <c r="Y72" s="11" t="str">
        <f>_xlfn.XLOOKUP($C72,AssetLocs!$A$1:$AAH$1,AssetLocs!$A$9:$AAH$9,"") &amp; ""</f>
        <v/>
      </c>
      <c r="Z72" s="11" t="str">
        <f>_xlfn.XLOOKUP($C72,AssetLocs!$A$1:$AAH$1,AssetLocs!$B$9:$AAI$9,"") &amp; ""</f>
        <v/>
      </c>
      <c r="AA72" s="7"/>
      <c r="AB72" s="11" t="str">
        <f>_xlfn.XLOOKUP($C72,AssetLocs!$A$1:$AAH$1,AssetLocs!$A$10:$AAH$10,"") &amp; ""</f>
        <v/>
      </c>
      <c r="AC72" s="11" t="str">
        <f>_xlfn.XLOOKUP($C72,AssetLocs!$A$1:$AAH$1,AssetLocs!$B$10:$AAI$10,"") &amp; ""</f>
        <v/>
      </c>
      <c r="AD72" s="7"/>
    </row>
    <row r="73" spans="1:30" x14ac:dyDescent="0.2">
      <c r="A73" t="str" cm="1">
        <f t="array" aca="1" ref="A73" ca="1">INDEX(INDIRECT(VLOOKUP($C$4, RoomLocs!$A$2:$B$35,2,)),ROW()-4,COLUMN()) &amp; ""</f>
        <v/>
      </c>
      <c r="B73" t="str" cm="1">
        <f t="array" aca="1" ref="B73" ca="1">INDEX(INDIRECT(VLOOKUP($C$4, RoomLocs!$A$2:$B$35,2,)),ROW()-4,COLUMN()) &amp; ""</f>
        <v/>
      </c>
      <c r="C73" s="7"/>
      <c r="D73" t="str">
        <f>_xlfn.XLOOKUP($C73,AssetLocs!$A$1:$AAH$1,AssetLocs!$A$2:$AAH$2,"") &amp; ""</f>
        <v/>
      </c>
      <c r="E73" t="str">
        <f>_xlfn.XLOOKUP($C73,AssetLocs!$A$1:$AAH$1,AssetLocs!$B$2:$AAI$2,"") &amp; ""</f>
        <v/>
      </c>
      <c r="F73" s="7"/>
      <c r="G73" t="str">
        <f>_xlfn.XLOOKUP($C73,AssetLocs!$A$1:$AAH$1,AssetLocs!$A$3:$AAH$3,"") &amp; ""</f>
        <v/>
      </c>
      <c r="H73" t="str">
        <f>_xlfn.XLOOKUP($C73,AssetLocs!$A$1:$AAH$1,AssetLocs!$B$3:$AAI$3,"") &amp; ""</f>
        <v/>
      </c>
      <c r="I73" s="7"/>
      <c r="J73" t="str">
        <f>_xlfn.XLOOKUP($C73,AssetLocs!$A$1:$AAH$1,AssetLocs!$A$4:$AAH$4,"") &amp; ""</f>
        <v/>
      </c>
      <c r="K73" t="str">
        <f>_xlfn.XLOOKUP($C73,AssetLocs!$A$1:$AAH$1,AssetLocs!$B$4:$AAI$4,"") &amp; ""</f>
        <v/>
      </c>
      <c r="L73" s="7"/>
      <c r="M73" t="str">
        <f>_xlfn.XLOOKUP($C73,AssetLocs!$A$1:$AAH$1,AssetLocs!$A$5:$AAH$5,"") &amp; ""</f>
        <v/>
      </c>
      <c r="N73" t="str">
        <f>_xlfn.XLOOKUP($C73,AssetLocs!$A$1:$AAH$1,AssetLocs!$B$5:$AAI$5,"") &amp; ""</f>
        <v/>
      </c>
      <c r="O73" s="7"/>
      <c r="P73" t="str">
        <f>_xlfn.XLOOKUP($C73,AssetLocs!$A$1:$AAH$1,AssetLocs!$A$6:$AAH$6,"") &amp; ""</f>
        <v/>
      </c>
      <c r="Q73" t="str">
        <f>_xlfn.XLOOKUP($C73,AssetLocs!$A$1:$AAH$1,AssetLocs!$B$6:$AAI$6,"") &amp; ""</f>
        <v/>
      </c>
      <c r="R73" s="7"/>
      <c r="S73" t="str">
        <f>_xlfn.XLOOKUP($C73,AssetLocs!$A$1:$AAH$1,AssetLocs!$A$7:$AAH$7,"") &amp; ""</f>
        <v/>
      </c>
      <c r="T73" t="str">
        <f>_xlfn.XLOOKUP($C73,AssetLocs!$A$1:$AAH$1,AssetLocs!$B$7:$AAI$7,"") &amp; ""</f>
        <v/>
      </c>
      <c r="U73" s="7"/>
      <c r="V73" t="str">
        <f>_xlfn.XLOOKUP($C73,AssetLocs!$A$1:$AAH$1,AssetLocs!$A$8:$AAH$8,"") &amp; ""</f>
        <v/>
      </c>
      <c r="W73" t="str">
        <f>_xlfn.XLOOKUP($C73,AssetLocs!$A$1:$AAH$1,AssetLocs!$B$8:$AAI$8,"") &amp; ""</f>
        <v/>
      </c>
      <c r="X73" s="7"/>
      <c r="Y73" s="11" t="str">
        <f>_xlfn.XLOOKUP($C73,AssetLocs!$A$1:$AAH$1,AssetLocs!$A$9:$AAH$9,"") &amp; ""</f>
        <v/>
      </c>
      <c r="Z73" s="11" t="str">
        <f>_xlfn.XLOOKUP($C73,AssetLocs!$A$1:$AAH$1,AssetLocs!$B$9:$AAI$9,"") &amp; ""</f>
        <v/>
      </c>
      <c r="AA73" s="7"/>
      <c r="AB73" s="11" t="str">
        <f>_xlfn.XLOOKUP($C73,AssetLocs!$A$1:$AAH$1,AssetLocs!$A$10:$AAH$10,"") &amp; ""</f>
        <v/>
      </c>
      <c r="AC73" s="11" t="str">
        <f>_xlfn.XLOOKUP($C73,AssetLocs!$A$1:$AAH$1,AssetLocs!$B$10:$AAI$10,"") &amp; ""</f>
        <v/>
      </c>
      <c r="AD73" s="7"/>
    </row>
    <row r="74" spans="1:30" x14ac:dyDescent="0.2">
      <c r="A74" t="str" cm="1">
        <f t="array" aca="1" ref="A74" ca="1">INDEX(INDIRECT(VLOOKUP($C$4, RoomLocs!$A$2:$B$35,2,)),ROW()-4,COLUMN()) &amp; ""</f>
        <v/>
      </c>
      <c r="B74" t="str" cm="1">
        <f t="array" aca="1" ref="B74" ca="1">INDEX(INDIRECT(VLOOKUP($C$4, RoomLocs!$A$2:$B$35,2,)),ROW()-4,COLUMN()) &amp; ""</f>
        <v/>
      </c>
      <c r="C74" s="7"/>
      <c r="D74" t="str">
        <f>_xlfn.XLOOKUP($C74,AssetLocs!$A$1:$AAH$1,AssetLocs!$A$2:$AAH$2,"") &amp; ""</f>
        <v/>
      </c>
      <c r="E74" t="str">
        <f>_xlfn.XLOOKUP($C74,AssetLocs!$A$1:$AAH$1,AssetLocs!$B$2:$AAI$2,"") &amp; ""</f>
        <v/>
      </c>
      <c r="F74" s="7"/>
      <c r="G74" t="str">
        <f>_xlfn.XLOOKUP($C74,AssetLocs!$A$1:$AAH$1,AssetLocs!$A$3:$AAH$3,"") &amp; ""</f>
        <v/>
      </c>
      <c r="H74" t="str">
        <f>_xlfn.XLOOKUP($C74,AssetLocs!$A$1:$AAH$1,AssetLocs!$B$3:$AAI$3,"") &amp; ""</f>
        <v/>
      </c>
      <c r="I74" s="7"/>
      <c r="J74" t="str">
        <f>_xlfn.XLOOKUP($C74,AssetLocs!$A$1:$AAH$1,AssetLocs!$A$4:$AAH$4,"") &amp; ""</f>
        <v/>
      </c>
      <c r="K74" t="str">
        <f>_xlfn.XLOOKUP($C74,AssetLocs!$A$1:$AAH$1,AssetLocs!$B$4:$AAI$4,"") &amp; ""</f>
        <v/>
      </c>
      <c r="L74" s="7"/>
      <c r="M74" t="str">
        <f>_xlfn.XLOOKUP($C74,AssetLocs!$A$1:$AAH$1,AssetLocs!$A$5:$AAH$5,"") &amp; ""</f>
        <v/>
      </c>
      <c r="N74" t="str">
        <f>_xlfn.XLOOKUP($C74,AssetLocs!$A$1:$AAH$1,AssetLocs!$B$5:$AAI$5,"") &amp; ""</f>
        <v/>
      </c>
      <c r="O74" s="7"/>
      <c r="P74" t="str">
        <f>_xlfn.XLOOKUP($C74,AssetLocs!$A$1:$AAH$1,AssetLocs!$A$6:$AAH$6,"") &amp; ""</f>
        <v/>
      </c>
      <c r="Q74" t="str">
        <f>_xlfn.XLOOKUP($C74,AssetLocs!$A$1:$AAH$1,AssetLocs!$B$6:$AAI$6,"") &amp; ""</f>
        <v/>
      </c>
      <c r="R74" s="7"/>
      <c r="S74" t="str">
        <f>_xlfn.XLOOKUP($C74,AssetLocs!$A$1:$AAH$1,AssetLocs!$A$7:$AAH$7,"") &amp; ""</f>
        <v/>
      </c>
      <c r="T74" t="str">
        <f>_xlfn.XLOOKUP($C74,AssetLocs!$A$1:$AAH$1,AssetLocs!$B$7:$AAI$7,"") &amp; ""</f>
        <v/>
      </c>
      <c r="U74" s="7"/>
      <c r="V74" t="str">
        <f>_xlfn.XLOOKUP($C74,AssetLocs!$A$1:$AAH$1,AssetLocs!$A$8:$AAH$8,"") &amp; ""</f>
        <v/>
      </c>
      <c r="W74" t="str">
        <f>_xlfn.XLOOKUP($C74,AssetLocs!$A$1:$AAH$1,AssetLocs!$B$8:$AAI$8,"") &amp; ""</f>
        <v/>
      </c>
      <c r="X74" s="7"/>
      <c r="Y74" s="11" t="str">
        <f>_xlfn.XLOOKUP($C74,AssetLocs!$A$1:$AAH$1,AssetLocs!$A$9:$AAH$9,"") &amp; ""</f>
        <v/>
      </c>
      <c r="Z74" s="11" t="str">
        <f>_xlfn.XLOOKUP($C74,AssetLocs!$A$1:$AAH$1,AssetLocs!$B$9:$AAI$9,"") &amp; ""</f>
        <v/>
      </c>
      <c r="AA74" s="7"/>
      <c r="AB74" s="11" t="str">
        <f>_xlfn.XLOOKUP($C74,AssetLocs!$A$1:$AAH$1,AssetLocs!$A$10:$AAH$10,"") &amp; ""</f>
        <v/>
      </c>
      <c r="AC74" s="11" t="str">
        <f>_xlfn.XLOOKUP($C74,AssetLocs!$A$1:$AAH$1,AssetLocs!$B$10:$AAI$10,"") &amp; ""</f>
        <v/>
      </c>
      <c r="AD74" s="7"/>
    </row>
    <row r="75" spans="1:30" x14ac:dyDescent="0.2">
      <c r="A75" t="str" cm="1">
        <f t="array" aca="1" ref="A75" ca="1">INDEX(INDIRECT(VLOOKUP($C$4, RoomLocs!$A$2:$B$35,2,)),ROW()-4,COLUMN()) &amp; ""</f>
        <v/>
      </c>
      <c r="B75" t="str" cm="1">
        <f t="array" aca="1" ref="B75" ca="1">INDEX(INDIRECT(VLOOKUP($C$4, RoomLocs!$A$2:$B$35,2,)),ROW()-4,COLUMN()) &amp; ""</f>
        <v/>
      </c>
      <c r="C75" s="7"/>
      <c r="D75" t="str">
        <f>_xlfn.XLOOKUP($C75,AssetLocs!$A$1:$AAH$1,AssetLocs!$A$2:$AAH$2,"") &amp; ""</f>
        <v/>
      </c>
      <c r="E75" t="str">
        <f>_xlfn.XLOOKUP($C75,AssetLocs!$A$1:$AAH$1,AssetLocs!$B$2:$AAI$2,"") &amp; ""</f>
        <v/>
      </c>
      <c r="F75" s="7"/>
      <c r="G75" t="str">
        <f>_xlfn.XLOOKUP($C75,AssetLocs!$A$1:$AAH$1,AssetLocs!$A$3:$AAH$3,"") &amp; ""</f>
        <v/>
      </c>
      <c r="H75" t="str">
        <f>_xlfn.XLOOKUP($C75,AssetLocs!$A$1:$AAH$1,AssetLocs!$B$3:$AAI$3,"") &amp; ""</f>
        <v/>
      </c>
      <c r="I75" s="7"/>
      <c r="J75" t="str">
        <f>_xlfn.XLOOKUP($C75,AssetLocs!$A$1:$AAH$1,AssetLocs!$A$4:$AAH$4,"") &amp; ""</f>
        <v/>
      </c>
      <c r="K75" t="str">
        <f>_xlfn.XLOOKUP($C75,AssetLocs!$A$1:$AAH$1,AssetLocs!$B$4:$AAI$4,"") &amp; ""</f>
        <v/>
      </c>
      <c r="L75" s="7"/>
      <c r="M75" t="str">
        <f>_xlfn.XLOOKUP($C75,AssetLocs!$A$1:$AAH$1,AssetLocs!$A$5:$AAH$5,"") &amp; ""</f>
        <v/>
      </c>
      <c r="N75" t="str">
        <f>_xlfn.XLOOKUP($C75,AssetLocs!$A$1:$AAH$1,AssetLocs!$B$5:$AAI$5,"") &amp; ""</f>
        <v/>
      </c>
      <c r="O75" s="7"/>
      <c r="P75" t="str">
        <f>_xlfn.XLOOKUP($C75,AssetLocs!$A$1:$AAH$1,AssetLocs!$A$6:$AAH$6,"") &amp; ""</f>
        <v/>
      </c>
      <c r="Q75" t="str">
        <f>_xlfn.XLOOKUP($C75,AssetLocs!$A$1:$AAH$1,AssetLocs!$B$6:$AAI$6,"") &amp; ""</f>
        <v/>
      </c>
      <c r="R75" s="7"/>
      <c r="S75" t="str">
        <f>_xlfn.XLOOKUP($C75,AssetLocs!$A$1:$AAH$1,AssetLocs!$A$7:$AAH$7,"") &amp; ""</f>
        <v/>
      </c>
      <c r="T75" t="str">
        <f>_xlfn.XLOOKUP($C75,AssetLocs!$A$1:$AAH$1,AssetLocs!$B$7:$AAI$7,"") &amp; ""</f>
        <v/>
      </c>
      <c r="U75" s="7"/>
      <c r="V75" t="str">
        <f>_xlfn.XLOOKUP($C75,AssetLocs!$A$1:$AAH$1,AssetLocs!$A$8:$AAH$8,"") &amp; ""</f>
        <v/>
      </c>
      <c r="W75" t="str">
        <f>_xlfn.XLOOKUP($C75,AssetLocs!$A$1:$AAH$1,AssetLocs!$B$8:$AAI$8,"") &amp; ""</f>
        <v/>
      </c>
      <c r="X75" s="7"/>
      <c r="Y75" s="11" t="str">
        <f>_xlfn.XLOOKUP($C75,AssetLocs!$A$1:$AAH$1,AssetLocs!$A$9:$AAH$9,"") &amp; ""</f>
        <v/>
      </c>
      <c r="Z75" s="11" t="str">
        <f>_xlfn.XLOOKUP($C75,AssetLocs!$A$1:$AAH$1,AssetLocs!$B$9:$AAI$9,"") &amp; ""</f>
        <v/>
      </c>
      <c r="AA75" s="7"/>
      <c r="AB75" s="11" t="str">
        <f>_xlfn.XLOOKUP($C75,AssetLocs!$A$1:$AAH$1,AssetLocs!$A$10:$AAH$10,"") &amp; ""</f>
        <v/>
      </c>
      <c r="AC75" s="11" t="str">
        <f>_xlfn.XLOOKUP($C75,AssetLocs!$A$1:$AAH$1,AssetLocs!$B$10:$AAI$10,"") &amp; ""</f>
        <v/>
      </c>
      <c r="AD75" s="7"/>
    </row>
    <row r="76" spans="1:30" x14ac:dyDescent="0.2">
      <c r="A76" t="str" cm="1">
        <f t="array" aca="1" ref="A76" ca="1">INDEX(INDIRECT(VLOOKUP($C$4, RoomLocs!$A$2:$B$35,2,)),ROW()-4,COLUMN()) &amp; ""</f>
        <v/>
      </c>
      <c r="B76" t="str" cm="1">
        <f t="array" aca="1" ref="B76" ca="1">INDEX(INDIRECT(VLOOKUP($C$4, RoomLocs!$A$2:$B$35,2,)),ROW()-4,COLUMN()) &amp; ""</f>
        <v/>
      </c>
      <c r="C76" s="7"/>
      <c r="D76" t="str">
        <f>_xlfn.XLOOKUP($C76,AssetLocs!$A$1:$AAH$1,AssetLocs!$A$2:$AAH$2,"") &amp; ""</f>
        <v/>
      </c>
      <c r="E76" t="str">
        <f>_xlfn.XLOOKUP($C76,AssetLocs!$A$1:$AAH$1,AssetLocs!$B$2:$AAI$2,"") &amp; ""</f>
        <v/>
      </c>
      <c r="F76" s="7"/>
      <c r="G76" t="str">
        <f>_xlfn.XLOOKUP($C76,AssetLocs!$A$1:$AAH$1,AssetLocs!$A$3:$AAH$3,"") &amp; ""</f>
        <v/>
      </c>
      <c r="H76" t="str">
        <f>_xlfn.XLOOKUP($C76,AssetLocs!$A$1:$AAH$1,AssetLocs!$B$3:$AAI$3,"") &amp; ""</f>
        <v/>
      </c>
      <c r="I76" s="7"/>
      <c r="J76" t="str">
        <f>_xlfn.XLOOKUP($C76,AssetLocs!$A$1:$AAH$1,AssetLocs!$A$4:$AAH$4,"") &amp; ""</f>
        <v/>
      </c>
      <c r="K76" t="str">
        <f>_xlfn.XLOOKUP($C76,AssetLocs!$A$1:$AAH$1,AssetLocs!$B$4:$AAI$4,"") &amp; ""</f>
        <v/>
      </c>
      <c r="L76" s="7"/>
      <c r="M76" t="str">
        <f>_xlfn.XLOOKUP($C76,AssetLocs!$A$1:$AAH$1,AssetLocs!$A$5:$AAH$5,"") &amp; ""</f>
        <v/>
      </c>
      <c r="N76" t="str">
        <f>_xlfn.XLOOKUP($C76,AssetLocs!$A$1:$AAH$1,AssetLocs!$B$5:$AAI$5,"") &amp; ""</f>
        <v/>
      </c>
      <c r="O76" s="7"/>
      <c r="P76" t="str">
        <f>_xlfn.XLOOKUP($C76,AssetLocs!$A$1:$AAH$1,AssetLocs!$A$6:$AAH$6,"") &amp; ""</f>
        <v/>
      </c>
      <c r="Q76" t="str">
        <f>_xlfn.XLOOKUP($C76,AssetLocs!$A$1:$AAH$1,AssetLocs!$B$6:$AAI$6,"") &amp; ""</f>
        <v/>
      </c>
      <c r="R76" s="7"/>
      <c r="S76" t="str">
        <f>_xlfn.XLOOKUP($C76,AssetLocs!$A$1:$AAH$1,AssetLocs!$A$7:$AAH$7,"") &amp; ""</f>
        <v/>
      </c>
      <c r="T76" t="str">
        <f>_xlfn.XLOOKUP($C76,AssetLocs!$A$1:$AAH$1,AssetLocs!$B$7:$AAI$7,"") &amp; ""</f>
        <v/>
      </c>
      <c r="U76" s="7"/>
      <c r="V76" t="str">
        <f>_xlfn.XLOOKUP($C76,AssetLocs!$A$1:$AAH$1,AssetLocs!$A$8:$AAH$8,"") &amp; ""</f>
        <v/>
      </c>
      <c r="W76" t="str">
        <f>_xlfn.XLOOKUP($C76,AssetLocs!$A$1:$AAH$1,AssetLocs!$B$8:$AAI$8,"") &amp; ""</f>
        <v/>
      </c>
      <c r="X76" s="7"/>
      <c r="Y76" s="11" t="str">
        <f>_xlfn.XLOOKUP($C76,AssetLocs!$A$1:$AAH$1,AssetLocs!$A$9:$AAH$9,"") &amp; ""</f>
        <v/>
      </c>
      <c r="Z76" s="11" t="str">
        <f>_xlfn.XLOOKUP($C76,AssetLocs!$A$1:$AAH$1,AssetLocs!$B$9:$AAI$9,"") &amp; ""</f>
        <v/>
      </c>
      <c r="AA76" s="7"/>
      <c r="AB76" s="11" t="str">
        <f>_xlfn.XLOOKUP($C76,AssetLocs!$A$1:$AAH$1,AssetLocs!$A$10:$AAH$10,"") &amp; ""</f>
        <v/>
      </c>
      <c r="AC76" s="11" t="str">
        <f>_xlfn.XLOOKUP($C76,AssetLocs!$A$1:$AAH$1,AssetLocs!$B$10:$AAI$10,"") &amp; ""</f>
        <v/>
      </c>
      <c r="AD76" s="7"/>
    </row>
    <row r="77" spans="1:30" x14ac:dyDescent="0.2">
      <c r="A77" t="str" cm="1">
        <f t="array" aca="1" ref="A77" ca="1">INDEX(INDIRECT(VLOOKUP($C$4, RoomLocs!$A$2:$B$35,2,)),ROW()-4,COLUMN()) &amp; ""</f>
        <v/>
      </c>
      <c r="B77" t="str" cm="1">
        <f t="array" aca="1" ref="B77" ca="1">INDEX(INDIRECT(VLOOKUP($C$4, RoomLocs!$A$2:$B$35,2,)),ROW()-4,COLUMN()) &amp; ""</f>
        <v/>
      </c>
      <c r="C77" s="7"/>
      <c r="D77" t="str">
        <f>_xlfn.XLOOKUP($C77,AssetLocs!$A$1:$AAH$1,AssetLocs!$A$2:$AAH$2,"") &amp; ""</f>
        <v/>
      </c>
      <c r="E77" t="str">
        <f>_xlfn.XLOOKUP($C77,AssetLocs!$A$1:$AAH$1,AssetLocs!$B$2:$AAI$2,"") &amp; ""</f>
        <v/>
      </c>
      <c r="F77" s="7"/>
      <c r="G77" t="str">
        <f>_xlfn.XLOOKUP($C77,AssetLocs!$A$1:$AAH$1,AssetLocs!$A$3:$AAH$3,"") &amp; ""</f>
        <v/>
      </c>
      <c r="H77" t="str">
        <f>_xlfn.XLOOKUP($C77,AssetLocs!$A$1:$AAH$1,AssetLocs!$B$3:$AAI$3,"") &amp; ""</f>
        <v/>
      </c>
      <c r="I77" s="7"/>
      <c r="J77" t="str">
        <f>_xlfn.XLOOKUP($C77,AssetLocs!$A$1:$AAH$1,AssetLocs!$A$4:$AAH$4,"") &amp; ""</f>
        <v/>
      </c>
      <c r="K77" t="str">
        <f>_xlfn.XLOOKUP($C77,AssetLocs!$A$1:$AAH$1,AssetLocs!$B$4:$AAI$4,"") &amp; ""</f>
        <v/>
      </c>
      <c r="L77" s="7"/>
      <c r="M77" t="str">
        <f>_xlfn.XLOOKUP($C77,AssetLocs!$A$1:$AAH$1,AssetLocs!$A$5:$AAH$5,"") &amp; ""</f>
        <v/>
      </c>
      <c r="N77" t="str">
        <f>_xlfn.XLOOKUP($C77,AssetLocs!$A$1:$AAH$1,AssetLocs!$B$5:$AAI$5,"") &amp; ""</f>
        <v/>
      </c>
      <c r="O77" s="7"/>
      <c r="P77" t="str">
        <f>_xlfn.XLOOKUP($C77,AssetLocs!$A$1:$AAH$1,AssetLocs!$A$6:$AAH$6,"") &amp; ""</f>
        <v/>
      </c>
      <c r="Q77" t="str">
        <f>_xlfn.XLOOKUP($C77,AssetLocs!$A$1:$AAH$1,AssetLocs!$B$6:$AAI$6,"") &amp; ""</f>
        <v/>
      </c>
      <c r="R77" s="7"/>
      <c r="S77" t="str">
        <f>_xlfn.XLOOKUP($C77,AssetLocs!$A$1:$AAH$1,AssetLocs!$A$7:$AAH$7,"") &amp; ""</f>
        <v/>
      </c>
      <c r="T77" t="str">
        <f>_xlfn.XLOOKUP($C77,AssetLocs!$A$1:$AAH$1,AssetLocs!$B$7:$AAI$7,"") &amp; ""</f>
        <v/>
      </c>
      <c r="U77" s="7"/>
      <c r="V77" t="str">
        <f>_xlfn.XLOOKUP($C77,AssetLocs!$A$1:$AAH$1,AssetLocs!$A$8:$AAH$8,"") &amp; ""</f>
        <v/>
      </c>
      <c r="W77" t="str">
        <f>_xlfn.XLOOKUP($C77,AssetLocs!$A$1:$AAH$1,AssetLocs!$B$8:$AAI$8,"") &amp; ""</f>
        <v/>
      </c>
      <c r="X77" s="7"/>
      <c r="Y77" s="11" t="str">
        <f>_xlfn.XLOOKUP($C77,AssetLocs!$A$1:$AAH$1,AssetLocs!$A$9:$AAH$9,"") &amp; ""</f>
        <v/>
      </c>
      <c r="Z77" s="11" t="str">
        <f>_xlfn.XLOOKUP($C77,AssetLocs!$A$1:$AAH$1,AssetLocs!$B$9:$AAI$9,"") &amp; ""</f>
        <v/>
      </c>
      <c r="AA77" s="7"/>
      <c r="AB77" s="11" t="str">
        <f>_xlfn.XLOOKUP($C77,AssetLocs!$A$1:$AAH$1,AssetLocs!$A$10:$AAH$10,"") &amp; ""</f>
        <v/>
      </c>
      <c r="AC77" s="11" t="str">
        <f>_xlfn.XLOOKUP($C77,AssetLocs!$A$1:$AAH$1,AssetLocs!$B$10:$AAI$10,"") &amp; ""</f>
        <v/>
      </c>
      <c r="AD77" s="7"/>
    </row>
    <row r="78" spans="1:30" x14ac:dyDescent="0.2">
      <c r="A78" t="str" cm="1">
        <f t="array" aca="1" ref="A78" ca="1">INDEX(INDIRECT(VLOOKUP($C$4, RoomLocs!$A$2:$B$35,2,)),ROW()-4,COLUMN()) &amp; ""</f>
        <v/>
      </c>
      <c r="B78" t="str" cm="1">
        <f t="array" aca="1" ref="B78" ca="1">INDEX(INDIRECT(VLOOKUP($C$4, RoomLocs!$A$2:$B$35,2,)),ROW()-4,COLUMN()) &amp; ""</f>
        <v/>
      </c>
      <c r="C78" s="7"/>
      <c r="D78" t="str">
        <f>_xlfn.XLOOKUP($C78,AssetLocs!$A$1:$AAH$1,AssetLocs!$A$2:$AAH$2,"") &amp; ""</f>
        <v/>
      </c>
      <c r="E78" t="str">
        <f>_xlfn.XLOOKUP($C78,AssetLocs!$A$1:$AAH$1,AssetLocs!$B$2:$AAI$2,"") &amp; ""</f>
        <v/>
      </c>
      <c r="F78" s="7"/>
      <c r="G78" t="str">
        <f>_xlfn.XLOOKUP($C78,AssetLocs!$A$1:$AAH$1,AssetLocs!$A$3:$AAH$3,"") &amp; ""</f>
        <v/>
      </c>
      <c r="H78" t="str">
        <f>_xlfn.XLOOKUP($C78,AssetLocs!$A$1:$AAH$1,AssetLocs!$B$3:$AAI$3,"") &amp; ""</f>
        <v/>
      </c>
      <c r="I78" s="7"/>
      <c r="J78" t="str">
        <f>_xlfn.XLOOKUP($C78,AssetLocs!$A$1:$AAH$1,AssetLocs!$A$4:$AAH$4,"") &amp; ""</f>
        <v/>
      </c>
      <c r="K78" t="str">
        <f>_xlfn.XLOOKUP($C78,AssetLocs!$A$1:$AAH$1,AssetLocs!$B$4:$AAI$4,"") &amp; ""</f>
        <v/>
      </c>
      <c r="L78" s="7"/>
      <c r="M78" t="str">
        <f>_xlfn.XLOOKUP($C78,AssetLocs!$A$1:$AAH$1,AssetLocs!$A$5:$AAH$5,"") &amp; ""</f>
        <v/>
      </c>
      <c r="N78" t="str">
        <f>_xlfn.XLOOKUP($C78,AssetLocs!$A$1:$AAH$1,AssetLocs!$B$5:$AAI$5,"") &amp; ""</f>
        <v/>
      </c>
      <c r="O78" s="7"/>
      <c r="P78" t="str">
        <f>_xlfn.XLOOKUP($C78,AssetLocs!$A$1:$AAH$1,AssetLocs!$A$6:$AAH$6,"") &amp; ""</f>
        <v/>
      </c>
      <c r="Q78" t="str">
        <f>_xlfn.XLOOKUP($C78,AssetLocs!$A$1:$AAH$1,AssetLocs!$B$6:$AAI$6,"") &amp; ""</f>
        <v/>
      </c>
      <c r="R78" s="7"/>
      <c r="S78" t="str">
        <f>_xlfn.XLOOKUP($C78,AssetLocs!$A$1:$AAH$1,AssetLocs!$A$7:$AAH$7,"") &amp; ""</f>
        <v/>
      </c>
      <c r="T78" t="str">
        <f>_xlfn.XLOOKUP($C78,AssetLocs!$A$1:$AAH$1,AssetLocs!$B$7:$AAI$7,"") &amp; ""</f>
        <v/>
      </c>
      <c r="U78" s="7"/>
      <c r="V78" t="str">
        <f>_xlfn.XLOOKUP($C78,AssetLocs!$A$1:$AAH$1,AssetLocs!$A$8:$AAH$8,"") &amp; ""</f>
        <v/>
      </c>
      <c r="W78" t="str">
        <f>_xlfn.XLOOKUP($C78,AssetLocs!$A$1:$AAH$1,AssetLocs!$B$8:$AAI$8,"") &amp; ""</f>
        <v/>
      </c>
      <c r="X78" s="7"/>
      <c r="Y78" s="11" t="str">
        <f>_xlfn.XLOOKUP($C78,AssetLocs!$A$1:$AAH$1,AssetLocs!$A$9:$AAH$9,"") &amp; ""</f>
        <v/>
      </c>
      <c r="Z78" s="11" t="str">
        <f>_xlfn.XLOOKUP($C78,AssetLocs!$A$1:$AAH$1,AssetLocs!$B$9:$AAI$9,"") &amp; ""</f>
        <v/>
      </c>
      <c r="AA78" s="7"/>
      <c r="AB78" s="11" t="str">
        <f>_xlfn.XLOOKUP($C78,AssetLocs!$A$1:$AAH$1,AssetLocs!$A$10:$AAH$10,"") &amp; ""</f>
        <v/>
      </c>
      <c r="AC78" s="11" t="str">
        <f>_xlfn.XLOOKUP($C78,AssetLocs!$A$1:$AAH$1,AssetLocs!$B$10:$AAI$10,"") &amp; ""</f>
        <v/>
      </c>
      <c r="AD78" s="7"/>
    </row>
    <row r="79" spans="1:30" x14ac:dyDescent="0.2">
      <c r="A79" t="str" cm="1">
        <f t="array" aca="1" ref="A79" ca="1">INDEX(INDIRECT(VLOOKUP($C$4, RoomLocs!$A$2:$B$35,2,)),ROW()-4,COLUMN()) &amp; ""</f>
        <v/>
      </c>
      <c r="B79" t="str" cm="1">
        <f t="array" aca="1" ref="B79" ca="1">INDEX(INDIRECT(VLOOKUP($C$4, RoomLocs!$A$2:$B$35,2,)),ROW()-4,COLUMN()) &amp; ""</f>
        <v/>
      </c>
      <c r="C79" s="7"/>
      <c r="D79" t="str">
        <f>_xlfn.XLOOKUP($C79,AssetLocs!$A$1:$AAH$1,AssetLocs!$A$2:$AAH$2,"") &amp; ""</f>
        <v/>
      </c>
      <c r="E79" t="str">
        <f>_xlfn.XLOOKUP($C79,AssetLocs!$A$1:$AAH$1,AssetLocs!$B$2:$AAI$2,"") &amp; ""</f>
        <v/>
      </c>
      <c r="F79" s="7"/>
      <c r="G79" t="str">
        <f>_xlfn.XLOOKUP($C79,AssetLocs!$A$1:$AAH$1,AssetLocs!$A$3:$AAH$3,"") &amp; ""</f>
        <v/>
      </c>
      <c r="H79" t="str">
        <f>_xlfn.XLOOKUP($C79,AssetLocs!$A$1:$AAH$1,AssetLocs!$B$3:$AAI$3,"") &amp; ""</f>
        <v/>
      </c>
      <c r="I79" s="7"/>
      <c r="J79" t="str">
        <f>_xlfn.XLOOKUP($C79,AssetLocs!$A$1:$AAH$1,AssetLocs!$A$4:$AAH$4,"") &amp; ""</f>
        <v/>
      </c>
      <c r="K79" t="str">
        <f>_xlfn.XLOOKUP($C79,AssetLocs!$A$1:$AAH$1,AssetLocs!$B$4:$AAI$4,"") &amp; ""</f>
        <v/>
      </c>
      <c r="L79" s="7"/>
      <c r="M79" t="str">
        <f>_xlfn.XLOOKUP($C79,AssetLocs!$A$1:$AAH$1,AssetLocs!$A$5:$AAH$5,"") &amp; ""</f>
        <v/>
      </c>
      <c r="N79" t="str">
        <f>_xlfn.XLOOKUP($C79,AssetLocs!$A$1:$AAH$1,AssetLocs!$B$5:$AAI$5,"") &amp; ""</f>
        <v/>
      </c>
      <c r="O79" s="7"/>
      <c r="P79" t="str">
        <f>_xlfn.XLOOKUP($C79,AssetLocs!$A$1:$AAH$1,AssetLocs!$A$6:$AAH$6,"") &amp; ""</f>
        <v/>
      </c>
      <c r="Q79" t="str">
        <f>_xlfn.XLOOKUP($C79,AssetLocs!$A$1:$AAH$1,AssetLocs!$B$6:$AAI$6,"") &amp; ""</f>
        <v/>
      </c>
      <c r="R79" s="7"/>
      <c r="S79" t="str">
        <f>_xlfn.XLOOKUP($C79,AssetLocs!$A$1:$AAH$1,AssetLocs!$A$7:$AAH$7,"") &amp; ""</f>
        <v/>
      </c>
      <c r="T79" t="str">
        <f>_xlfn.XLOOKUP($C79,AssetLocs!$A$1:$AAH$1,AssetLocs!$B$7:$AAI$7,"") &amp; ""</f>
        <v/>
      </c>
      <c r="U79" s="7"/>
      <c r="V79" t="str">
        <f>_xlfn.XLOOKUP($C79,AssetLocs!$A$1:$AAH$1,AssetLocs!$A$8:$AAH$8,"") &amp; ""</f>
        <v/>
      </c>
      <c r="W79" t="str">
        <f>_xlfn.XLOOKUP($C79,AssetLocs!$A$1:$AAH$1,AssetLocs!$B$8:$AAI$8,"") &amp; ""</f>
        <v/>
      </c>
      <c r="X79" s="7"/>
      <c r="Y79" s="11" t="str">
        <f>_xlfn.XLOOKUP($C79,AssetLocs!$A$1:$AAH$1,AssetLocs!$A$9:$AAH$9,"") &amp; ""</f>
        <v/>
      </c>
      <c r="Z79" s="11" t="str">
        <f>_xlfn.XLOOKUP($C79,AssetLocs!$A$1:$AAH$1,AssetLocs!$B$9:$AAI$9,"") &amp; ""</f>
        <v/>
      </c>
      <c r="AA79" s="7"/>
      <c r="AB79" s="11" t="str">
        <f>_xlfn.XLOOKUP($C79,AssetLocs!$A$1:$AAH$1,AssetLocs!$A$10:$AAH$10,"") &amp; ""</f>
        <v/>
      </c>
      <c r="AC79" s="11" t="str">
        <f>_xlfn.XLOOKUP($C79,AssetLocs!$A$1:$AAH$1,AssetLocs!$B$10:$AAI$10,"") &amp; ""</f>
        <v/>
      </c>
      <c r="AD79" s="7"/>
    </row>
    <row r="80" spans="1:30" x14ac:dyDescent="0.2">
      <c r="A80" t="str" cm="1">
        <f t="array" aca="1" ref="A80" ca="1">INDEX(INDIRECT(VLOOKUP($C$4, RoomLocs!$A$2:$B$35,2,)),ROW()-4,COLUMN()) &amp; ""</f>
        <v/>
      </c>
      <c r="B80" t="str" cm="1">
        <f t="array" aca="1" ref="B80" ca="1">INDEX(INDIRECT(VLOOKUP($C$4, RoomLocs!$A$2:$B$35,2,)),ROW()-4,COLUMN()) &amp; ""</f>
        <v/>
      </c>
      <c r="C80" s="7"/>
      <c r="D80" t="str">
        <f>_xlfn.XLOOKUP($C80,AssetLocs!$A$1:$AAH$1,AssetLocs!$A$2:$AAH$2,"") &amp; ""</f>
        <v/>
      </c>
      <c r="E80" t="str">
        <f>_xlfn.XLOOKUP($C80,AssetLocs!$A$1:$AAH$1,AssetLocs!$B$2:$AAI$2,"") &amp; ""</f>
        <v/>
      </c>
      <c r="F80" s="7"/>
      <c r="G80" t="str">
        <f>_xlfn.XLOOKUP($C80,AssetLocs!$A$1:$AAH$1,AssetLocs!$A$3:$AAH$3,"") &amp; ""</f>
        <v/>
      </c>
      <c r="H80" t="str">
        <f>_xlfn.XLOOKUP($C80,AssetLocs!$A$1:$AAH$1,AssetLocs!$B$3:$AAI$3,"") &amp; ""</f>
        <v/>
      </c>
      <c r="I80" s="7"/>
      <c r="J80" t="str">
        <f>_xlfn.XLOOKUP($C80,AssetLocs!$A$1:$AAH$1,AssetLocs!$A$4:$AAH$4,"") &amp; ""</f>
        <v/>
      </c>
      <c r="K80" t="str">
        <f>_xlfn.XLOOKUP($C80,AssetLocs!$A$1:$AAH$1,AssetLocs!$B$4:$AAI$4,"") &amp; ""</f>
        <v/>
      </c>
      <c r="L80" s="7"/>
      <c r="M80" t="str">
        <f>_xlfn.XLOOKUP($C80,AssetLocs!$A$1:$AAH$1,AssetLocs!$A$5:$AAH$5,"") &amp; ""</f>
        <v/>
      </c>
      <c r="N80" t="str">
        <f>_xlfn.XLOOKUP($C80,AssetLocs!$A$1:$AAH$1,AssetLocs!$B$5:$AAI$5,"") &amp; ""</f>
        <v/>
      </c>
      <c r="O80" s="7"/>
      <c r="P80" t="str">
        <f>_xlfn.XLOOKUP($C80,AssetLocs!$A$1:$AAH$1,AssetLocs!$A$6:$AAH$6,"") &amp; ""</f>
        <v/>
      </c>
      <c r="Q80" t="str">
        <f>_xlfn.XLOOKUP($C80,AssetLocs!$A$1:$AAH$1,AssetLocs!$B$6:$AAI$6,"") &amp; ""</f>
        <v/>
      </c>
      <c r="R80" s="7"/>
      <c r="S80" t="str">
        <f>_xlfn.XLOOKUP($C80,AssetLocs!$A$1:$AAH$1,AssetLocs!$A$7:$AAH$7,"") &amp; ""</f>
        <v/>
      </c>
      <c r="T80" t="str">
        <f>_xlfn.XLOOKUP($C80,AssetLocs!$A$1:$AAH$1,AssetLocs!$B$7:$AAI$7,"") &amp; ""</f>
        <v/>
      </c>
      <c r="U80" s="7"/>
      <c r="V80" t="str">
        <f>_xlfn.XLOOKUP($C80,AssetLocs!$A$1:$AAH$1,AssetLocs!$A$8:$AAH$8,"") &amp; ""</f>
        <v/>
      </c>
      <c r="W80" t="str">
        <f>_xlfn.XLOOKUP($C80,AssetLocs!$A$1:$AAH$1,AssetLocs!$B$8:$AAI$8,"") &amp; ""</f>
        <v/>
      </c>
      <c r="X80" s="7"/>
      <c r="Y80" s="11" t="str">
        <f>_xlfn.XLOOKUP($C80,AssetLocs!$A$1:$AAH$1,AssetLocs!$A$9:$AAH$9,"") &amp; ""</f>
        <v/>
      </c>
      <c r="Z80" s="11" t="str">
        <f>_xlfn.XLOOKUP($C80,AssetLocs!$A$1:$AAH$1,AssetLocs!$B$9:$AAI$9,"") &amp; ""</f>
        <v/>
      </c>
      <c r="AA80" s="7"/>
      <c r="AB80" s="11" t="str">
        <f>_xlfn.XLOOKUP($C80,AssetLocs!$A$1:$AAH$1,AssetLocs!$A$10:$AAH$10,"") &amp; ""</f>
        <v/>
      </c>
      <c r="AC80" s="11" t="str">
        <f>_xlfn.XLOOKUP($C80,AssetLocs!$A$1:$AAH$1,AssetLocs!$B$10:$AAI$10,"") &amp; ""</f>
        <v/>
      </c>
      <c r="AD80" s="7"/>
    </row>
    <row r="81" spans="1:30" x14ac:dyDescent="0.2">
      <c r="A81" t="str" cm="1">
        <f t="array" aca="1" ref="A81" ca="1">INDEX(INDIRECT(VLOOKUP($C$4, RoomLocs!$A$2:$B$35,2,)),ROW()-4,COLUMN()) &amp; ""</f>
        <v/>
      </c>
      <c r="B81" t="str" cm="1">
        <f t="array" aca="1" ref="B81" ca="1">INDEX(INDIRECT(VLOOKUP($C$4, RoomLocs!$A$2:$B$35,2,)),ROW()-4,COLUMN()) &amp; ""</f>
        <v/>
      </c>
      <c r="C81" s="7"/>
      <c r="D81" t="str">
        <f>_xlfn.XLOOKUP($C81,AssetLocs!$A$1:$AAH$1,AssetLocs!$A$2:$AAH$2,"") &amp; ""</f>
        <v/>
      </c>
      <c r="E81" t="str">
        <f>_xlfn.XLOOKUP($C81,AssetLocs!$A$1:$AAH$1,AssetLocs!$B$2:$AAI$2,"") &amp; ""</f>
        <v/>
      </c>
      <c r="F81" s="7"/>
      <c r="G81" t="str">
        <f>_xlfn.XLOOKUP($C81,AssetLocs!$A$1:$AAH$1,AssetLocs!$A$3:$AAH$3,"") &amp; ""</f>
        <v/>
      </c>
      <c r="H81" t="str">
        <f>_xlfn.XLOOKUP($C81,AssetLocs!$A$1:$AAH$1,AssetLocs!$B$3:$AAI$3,"") &amp; ""</f>
        <v/>
      </c>
      <c r="I81" s="7"/>
      <c r="J81" t="str">
        <f>_xlfn.XLOOKUP($C81,AssetLocs!$A$1:$AAH$1,AssetLocs!$A$4:$AAH$4,"") &amp; ""</f>
        <v/>
      </c>
      <c r="K81" t="str">
        <f>_xlfn.XLOOKUP($C81,AssetLocs!$A$1:$AAH$1,AssetLocs!$B$4:$AAI$4,"") &amp; ""</f>
        <v/>
      </c>
      <c r="L81" s="7"/>
      <c r="M81" t="str">
        <f>_xlfn.XLOOKUP($C81,AssetLocs!$A$1:$AAH$1,AssetLocs!$A$5:$AAH$5,"") &amp; ""</f>
        <v/>
      </c>
      <c r="N81" t="str">
        <f>_xlfn.XLOOKUP($C81,AssetLocs!$A$1:$AAH$1,AssetLocs!$B$5:$AAI$5,"") &amp; ""</f>
        <v/>
      </c>
      <c r="O81" s="7"/>
      <c r="P81" t="str">
        <f>_xlfn.XLOOKUP($C81,AssetLocs!$A$1:$AAH$1,AssetLocs!$A$6:$AAH$6,"") &amp; ""</f>
        <v/>
      </c>
      <c r="Q81" t="str">
        <f>_xlfn.XLOOKUP($C81,AssetLocs!$A$1:$AAH$1,AssetLocs!$B$6:$AAI$6,"") &amp; ""</f>
        <v/>
      </c>
      <c r="R81" s="7"/>
      <c r="S81" t="str">
        <f>_xlfn.XLOOKUP($C81,AssetLocs!$A$1:$AAH$1,AssetLocs!$A$7:$AAH$7,"") &amp; ""</f>
        <v/>
      </c>
      <c r="T81" t="str">
        <f>_xlfn.XLOOKUP($C81,AssetLocs!$A$1:$AAH$1,AssetLocs!$B$7:$AAI$7,"") &amp; ""</f>
        <v/>
      </c>
      <c r="U81" s="7"/>
      <c r="V81" t="str">
        <f>_xlfn.XLOOKUP($C81,AssetLocs!$A$1:$AAH$1,AssetLocs!$A$8:$AAH$8,"") &amp; ""</f>
        <v/>
      </c>
      <c r="W81" t="str">
        <f>_xlfn.XLOOKUP($C81,AssetLocs!$A$1:$AAH$1,AssetLocs!$B$8:$AAI$8,"") &amp; ""</f>
        <v/>
      </c>
      <c r="X81" s="7"/>
      <c r="Y81" s="11" t="str">
        <f>_xlfn.XLOOKUP($C81,AssetLocs!$A$1:$AAH$1,AssetLocs!$A$9:$AAH$9,"") &amp; ""</f>
        <v/>
      </c>
      <c r="Z81" s="11" t="str">
        <f>_xlfn.XLOOKUP($C81,AssetLocs!$A$1:$AAH$1,AssetLocs!$B$9:$AAI$9,"") &amp; ""</f>
        <v/>
      </c>
      <c r="AA81" s="7"/>
      <c r="AB81" s="11" t="str">
        <f>_xlfn.XLOOKUP($C81,AssetLocs!$A$1:$AAH$1,AssetLocs!$A$10:$AAH$10,"") &amp; ""</f>
        <v/>
      </c>
      <c r="AC81" s="11" t="str">
        <f>_xlfn.XLOOKUP($C81,AssetLocs!$A$1:$AAH$1,AssetLocs!$B$10:$AAI$10,"") &amp; ""</f>
        <v/>
      </c>
      <c r="AD81" s="7"/>
    </row>
    <row r="82" spans="1:30" x14ac:dyDescent="0.2">
      <c r="A82" t="str" cm="1">
        <f t="array" aca="1" ref="A82" ca="1">INDEX(INDIRECT(VLOOKUP($C$4, RoomLocs!$A$2:$B$35,2,)),ROW()-4,COLUMN()) &amp; ""</f>
        <v/>
      </c>
      <c r="B82" t="str" cm="1">
        <f t="array" aca="1" ref="B82" ca="1">INDEX(INDIRECT(VLOOKUP($C$4, RoomLocs!$A$2:$B$35,2,)),ROW()-4,COLUMN()) &amp; ""</f>
        <v/>
      </c>
      <c r="C82" s="7"/>
      <c r="D82" t="str">
        <f>_xlfn.XLOOKUP($C82,AssetLocs!$A$1:$AAH$1,AssetLocs!$A$2:$AAH$2,"") &amp; ""</f>
        <v/>
      </c>
      <c r="E82" t="str">
        <f>_xlfn.XLOOKUP($C82,AssetLocs!$A$1:$AAH$1,AssetLocs!$B$2:$AAI$2,"") &amp; ""</f>
        <v/>
      </c>
      <c r="F82" s="7"/>
      <c r="G82" t="str">
        <f>_xlfn.XLOOKUP($C82,AssetLocs!$A$1:$AAH$1,AssetLocs!$A$3:$AAH$3,"") &amp; ""</f>
        <v/>
      </c>
      <c r="H82" t="str">
        <f>_xlfn.XLOOKUP($C82,AssetLocs!$A$1:$AAH$1,AssetLocs!$B$3:$AAI$3,"") &amp; ""</f>
        <v/>
      </c>
      <c r="I82" s="7"/>
      <c r="J82" t="str">
        <f>_xlfn.XLOOKUP($C82,AssetLocs!$A$1:$AAH$1,AssetLocs!$A$4:$AAH$4,"") &amp; ""</f>
        <v/>
      </c>
      <c r="K82" t="str">
        <f>_xlfn.XLOOKUP($C82,AssetLocs!$A$1:$AAH$1,AssetLocs!$B$4:$AAI$4,"") &amp; ""</f>
        <v/>
      </c>
      <c r="L82" s="7"/>
      <c r="M82" t="str">
        <f>_xlfn.XLOOKUP($C82,AssetLocs!$A$1:$AAH$1,AssetLocs!$A$5:$AAH$5,"") &amp; ""</f>
        <v/>
      </c>
      <c r="N82" t="str">
        <f>_xlfn.XLOOKUP($C82,AssetLocs!$A$1:$AAH$1,AssetLocs!$B$5:$AAI$5,"") &amp; ""</f>
        <v/>
      </c>
      <c r="O82" s="7"/>
      <c r="P82" t="str">
        <f>_xlfn.XLOOKUP($C82,AssetLocs!$A$1:$AAH$1,AssetLocs!$A$6:$AAH$6,"") &amp; ""</f>
        <v/>
      </c>
      <c r="Q82" t="str">
        <f>_xlfn.XLOOKUP($C82,AssetLocs!$A$1:$AAH$1,AssetLocs!$B$6:$AAI$6,"") &amp; ""</f>
        <v/>
      </c>
      <c r="R82" s="7"/>
      <c r="S82" t="str">
        <f>_xlfn.XLOOKUP($C82,AssetLocs!$A$1:$AAH$1,AssetLocs!$A$7:$AAH$7,"") &amp; ""</f>
        <v/>
      </c>
      <c r="T82" t="str">
        <f>_xlfn.XLOOKUP($C82,AssetLocs!$A$1:$AAH$1,AssetLocs!$B$7:$AAI$7,"") &amp; ""</f>
        <v/>
      </c>
      <c r="U82" s="7"/>
      <c r="V82" t="str">
        <f>_xlfn.XLOOKUP($C82,AssetLocs!$A$1:$AAH$1,AssetLocs!$A$8:$AAH$8,"") &amp; ""</f>
        <v/>
      </c>
      <c r="W82" t="str">
        <f>_xlfn.XLOOKUP($C82,AssetLocs!$A$1:$AAH$1,AssetLocs!$B$8:$AAI$8,"") &amp; ""</f>
        <v/>
      </c>
      <c r="X82" s="7"/>
      <c r="Y82" s="11" t="str">
        <f>_xlfn.XLOOKUP($C82,AssetLocs!$A$1:$AAH$1,AssetLocs!$A$9:$AAH$9,"") &amp; ""</f>
        <v/>
      </c>
      <c r="Z82" s="11" t="str">
        <f>_xlfn.XLOOKUP($C82,AssetLocs!$A$1:$AAH$1,AssetLocs!$B$9:$AAI$9,"") &amp; ""</f>
        <v/>
      </c>
      <c r="AA82" s="7"/>
      <c r="AB82" s="11" t="str">
        <f>_xlfn.XLOOKUP($C82,AssetLocs!$A$1:$AAH$1,AssetLocs!$A$10:$AAH$10,"") &amp; ""</f>
        <v/>
      </c>
      <c r="AC82" s="11" t="str">
        <f>_xlfn.XLOOKUP($C82,AssetLocs!$A$1:$AAH$1,AssetLocs!$B$10:$AAI$10,"") &amp; ""</f>
        <v/>
      </c>
      <c r="AD82" s="7"/>
    </row>
    <row r="83" spans="1:30" x14ac:dyDescent="0.2">
      <c r="A83" t="str" cm="1">
        <f t="array" aca="1" ref="A83" ca="1">INDEX(INDIRECT(VLOOKUP($C$4, RoomLocs!$A$2:$B$35,2,)),ROW()-4,COLUMN()) &amp; ""</f>
        <v/>
      </c>
      <c r="B83" t="str" cm="1">
        <f t="array" aca="1" ref="B83" ca="1">INDEX(INDIRECT(VLOOKUP($C$4, RoomLocs!$A$2:$B$35,2,)),ROW()-4,COLUMN()) &amp; ""</f>
        <v/>
      </c>
      <c r="C83" s="7"/>
      <c r="D83" t="str">
        <f>_xlfn.XLOOKUP($C83,AssetLocs!$A$1:$AAH$1,AssetLocs!$A$2:$AAH$2,"") &amp; ""</f>
        <v/>
      </c>
      <c r="E83" t="str">
        <f>_xlfn.XLOOKUP($C83,AssetLocs!$A$1:$AAH$1,AssetLocs!$B$2:$AAI$2,"") &amp; ""</f>
        <v/>
      </c>
      <c r="F83" s="7"/>
      <c r="G83" t="str">
        <f>_xlfn.XLOOKUP($C83,AssetLocs!$A$1:$AAH$1,AssetLocs!$A$3:$AAH$3,"") &amp; ""</f>
        <v/>
      </c>
      <c r="H83" t="str">
        <f>_xlfn.XLOOKUP($C83,AssetLocs!$A$1:$AAH$1,AssetLocs!$B$3:$AAI$3,"") &amp; ""</f>
        <v/>
      </c>
      <c r="I83" s="7"/>
      <c r="J83" t="str">
        <f>_xlfn.XLOOKUP($C83,AssetLocs!$A$1:$AAH$1,AssetLocs!$A$4:$AAH$4,"") &amp; ""</f>
        <v/>
      </c>
      <c r="K83" t="str">
        <f>_xlfn.XLOOKUP($C83,AssetLocs!$A$1:$AAH$1,AssetLocs!$B$4:$AAI$4,"") &amp; ""</f>
        <v/>
      </c>
      <c r="L83" s="7"/>
      <c r="M83" t="str">
        <f>_xlfn.XLOOKUP($C83,AssetLocs!$A$1:$AAH$1,AssetLocs!$A$5:$AAH$5,"") &amp; ""</f>
        <v/>
      </c>
      <c r="N83" t="str">
        <f>_xlfn.XLOOKUP($C83,AssetLocs!$A$1:$AAH$1,AssetLocs!$B$5:$AAI$5,"") &amp; ""</f>
        <v/>
      </c>
      <c r="O83" s="7"/>
      <c r="P83" t="str">
        <f>_xlfn.XLOOKUP($C83,AssetLocs!$A$1:$AAH$1,AssetLocs!$A$6:$AAH$6,"") &amp; ""</f>
        <v/>
      </c>
      <c r="Q83" t="str">
        <f>_xlfn.XLOOKUP($C83,AssetLocs!$A$1:$AAH$1,AssetLocs!$B$6:$AAI$6,"") &amp; ""</f>
        <v/>
      </c>
      <c r="R83" s="7"/>
      <c r="S83" t="str">
        <f>_xlfn.XLOOKUP($C83,AssetLocs!$A$1:$AAH$1,AssetLocs!$A$7:$AAH$7,"") &amp; ""</f>
        <v/>
      </c>
      <c r="T83" t="str">
        <f>_xlfn.XLOOKUP($C83,AssetLocs!$A$1:$AAH$1,AssetLocs!$B$7:$AAI$7,"") &amp; ""</f>
        <v/>
      </c>
      <c r="U83" s="7"/>
      <c r="V83" t="str">
        <f>_xlfn.XLOOKUP($C83,AssetLocs!$A$1:$AAH$1,AssetLocs!$A$8:$AAH$8,"") &amp; ""</f>
        <v/>
      </c>
      <c r="W83" t="str">
        <f>_xlfn.XLOOKUP($C83,AssetLocs!$A$1:$AAH$1,AssetLocs!$B$8:$AAI$8,"") &amp; ""</f>
        <v/>
      </c>
      <c r="X83" s="7"/>
      <c r="Y83" s="11" t="str">
        <f>_xlfn.XLOOKUP($C83,AssetLocs!$A$1:$AAH$1,AssetLocs!$A$9:$AAH$9,"") &amp; ""</f>
        <v/>
      </c>
      <c r="Z83" s="11" t="str">
        <f>_xlfn.XLOOKUP($C83,AssetLocs!$A$1:$AAH$1,AssetLocs!$B$9:$AAI$9,"") &amp; ""</f>
        <v/>
      </c>
      <c r="AA83" s="7"/>
      <c r="AB83" s="11" t="str">
        <f>_xlfn.XLOOKUP($C83,AssetLocs!$A$1:$AAH$1,AssetLocs!$A$10:$AAH$10,"") &amp; ""</f>
        <v/>
      </c>
      <c r="AC83" s="11" t="str">
        <f>_xlfn.XLOOKUP($C83,AssetLocs!$A$1:$AAH$1,AssetLocs!$B$10:$AAI$10,"") &amp; ""</f>
        <v/>
      </c>
      <c r="AD83" s="7"/>
    </row>
    <row r="84" spans="1:30" x14ac:dyDescent="0.2">
      <c r="A84" t="str" cm="1">
        <f t="array" aca="1" ref="A84" ca="1">INDEX(INDIRECT(VLOOKUP($C$4, RoomLocs!$A$2:$B$35,2,)),ROW()-4,COLUMN()) &amp; ""</f>
        <v/>
      </c>
      <c r="B84" t="str" cm="1">
        <f t="array" aca="1" ref="B84" ca="1">INDEX(INDIRECT(VLOOKUP($C$4, RoomLocs!$A$2:$B$35,2,)),ROW()-4,COLUMN()) &amp; ""</f>
        <v/>
      </c>
      <c r="C84" s="7"/>
      <c r="D84" t="str">
        <f>_xlfn.XLOOKUP($C84,AssetLocs!$A$1:$AAH$1,AssetLocs!$A$2:$AAH$2,"") &amp; ""</f>
        <v/>
      </c>
      <c r="E84" t="str">
        <f>_xlfn.XLOOKUP($C84,AssetLocs!$A$1:$AAH$1,AssetLocs!$B$2:$AAI$2,"") &amp; ""</f>
        <v/>
      </c>
      <c r="F84" s="7"/>
      <c r="G84" t="str">
        <f>_xlfn.XLOOKUP($C84,AssetLocs!$A$1:$AAH$1,AssetLocs!$A$3:$AAH$3,"") &amp; ""</f>
        <v/>
      </c>
      <c r="H84" t="str">
        <f>_xlfn.XLOOKUP($C84,AssetLocs!$A$1:$AAH$1,AssetLocs!$B$3:$AAI$3,"") &amp; ""</f>
        <v/>
      </c>
      <c r="I84" s="7"/>
      <c r="J84" t="str">
        <f>_xlfn.XLOOKUP($C84,AssetLocs!$A$1:$AAH$1,AssetLocs!$A$4:$AAH$4,"") &amp; ""</f>
        <v/>
      </c>
      <c r="K84" t="str">
        <f>_xlfn.XLOOKUP($C84,AssetLocs!$A$1:$AAH$1,AssetLocs!$B$4:$AAI$4,"") &amp; ""</f>
        <v/>
      </c>
      <c r="L84" s="7"/>
      <c r="M84" t="str">
        <f>_xlfn.XLOOKUP($C84,AssetLocs!$A$1:$AAH$1,AssetLocs!$A$5:$AAH$5,"") &amp; ""</f>
        <v/>
      </c>
      <c r="N84" t="str">
        <f>_xlfn.XLOOKUP($C84,AssetLocs!$A$1:$AAH$1,AssetLocs!$B$5:$AAI$5,"") &amp; ""</f>
        <v/>
      </c>
      <c r="O84" s="7"/>
      <c r="P84" t="str">
        <f>_xlfn.XLOOKUP($C84,AssetLocs!$A$1:$AAH$1,AssetLocs!$A$6:$AAH$6,"") &amp; ""</f>
        <v/>
      </c>
      <c r="Q84" t="str">
        <f>_xlfn.XLOOKUP($C84,AssetLocs!$A$1:$AAH$1,AssetLocs!$B$6:$AAI$6,"") &amp; ""</f>
        <v/>
      </c>
      <c r="R84" s="7"/>
      <c r="S84" t="str">
        <f>_xlfn.XLOOKUP($C84,AssetLocs!$A$1:$AAH$1,AssetLocs!$A$7:$AAH$7,"") &amp; ""</f>
        <v/>
      </c>
      <c r="T84" t="str">
        <f>_xlfn.XLOOKUP($C84,AssetLocs!$A$1:$AAH$1,AssetLocs!$B$7:$AAI$7,"") &amp; ""</f>
        <v/>
      </c>
      <c r="U84" s="7"/>
      <c r="V84" t="str">
        <f>_xlfn.XLOOKUP($C84,AssetLocs!$A$1:$AAH$1,AssetLocs!$A$8:$AAH$8,"") &amp; ""</f>
        <v/>
      </c>
      <c r="W84" t="str">
        <f>_xlfn.XLOOKUP($C84,AssetLocs!$A$1:$AAH$1,AssetLocs!$B$8:$AAI$8,"") &amp; ""</f>
        <v/>
      </c>
      <c r="X84" s="7"/>
      <c r="Y84" s="11" t="str">
        <f>_xlfn.XLOOKUP($C84,AssetLocs!$A$1:$AAH$1,AssetLocs!$A$9:$AAH$9,"") &amp; ""</f>
        <v/>
      </c>
      <c r="Z84" s="11" t="str">
        <f>_xlfn.XLOOKUP($C84,AssetLocs!$A$1:$AAH$1,AssetLocs!$B$9:$AAI$9,"") &amp; ""</f>
        <v/>
      </c>
      <c r="AA84" s="7"/>
      <c r="AB84" s="11" t="str">
        <f>_xlfn.XLOOKUP($C84,AssetLocs!$A$1:$AAH$1,AssetLocs!$A$10:$AAH$10,"") &amp; ""</f>
        <v/>
      </c>
      <c r="AC84" s="11" t="str">
        <f>_xlfn.XLOOKUP($C84,AssetLocs!$A$1:$AAH$1,AssetLocs!$B$10:$AAI$10,"") &amp; ""</f>
        <v/>
      </c>
      <c r="AD84" s="7"/>
    </row>
    <row r="85" spans="1:30" x14ac:dyDescent="0.2">
      <c r="A85" t="str" cm="1">
        <f t="array" aca="1" ref="A85" ca="1">INDEX(INDIRECT(VLOOKUP($C$4, RoomLocs!$A$2:$B$35,2,)),ROW()-4,COLUMN()) &amp; ""</f>
        <v/>
      </c>
      <c r="B85" t="str" cm="1">
        <f t="array" aca="1" ref="B85" ca="1">INDEX(INDIRECT(VLOOKUP($C$4, RoomLocs!$A$2:$B$35,2,)),ROW()-4,COLUMN()) &amp; ""</f>
        <v/>
      </c>
      <c r="C85" s="7"/>
      <c r="D85" t="str">
        <f>_xlfn.XLOOKUP($C85,AssetLocs!$A$1:$AAH$1,AssetLocs!$A$2:$AAH$2,"") &amp; ""</f>
        <v/>
      </c>
      <c r="E85" t="str">
        <f>_xlfn.XLOOKUP($C85,AssetLocs!$A$1:$AAH$1,AssetLocs!$B$2:$AAI$2,"") &amp; ""</f>
        <v/>
      </c>
      <c r="F85" s="7"/>
      <c r="G85" t="str">
        <f>_xlfn.XLOOKUP($C85,AssetLocs!$A$1:$AAH$1,AssetLocs!$A$3:$AAH$3,"") &amp; ""</f>
        <v/>
      </c>
      <c r="H85" t="str">
        <f>_xlfn.XLOOKUP($C85,AssetLocs!$A$1:$AAH$1,AssetLocs!$B$3:$AAI$3,"") &amp; ""</f>
        <v/>
      </c>
      <c r="I85" s="7"/>
      <c r="J85" t="str">
        <f>_xlfn.XLOOKUP($C85,AssetLocs!$A$1:$AAH$1,AssetLocs!$A$4:$AAH$4,"") &amp; ""</f>
        <v/>
      </c>
      <c r="K85" t="str">
        <f>_xlfn.XLOOKUP($C85,AssetLocs!$A$1:$AAH$1,AssetLocs!$B$4:$AAI$4,"") &amp; ""</f>
        <v/>
      </c>
      <c r="L85" s="7"/>
      <c r="M85" t="str">
        <f>_xlfn.XLOOKUP($C85,AssetLocs!$A$1:$AAH$1,AssetLocs!$A$5:$AAH$5,"") &amp; ""</f>
        <v/>
      </c>
      <c r="N85" t="str">
        <f>_xlfn.XLOOKUP($C85,AssetLocs!$A$1:$AAH$1,AssetLocs!$B$5:$AAI$5,"") &amp; ""</f>
        <v/>
      </c>
      <c r="O85" s="7"/>
      <c r="P85" t="str">
        <f>_xlfn.XLOOKUP($C85,AssetLocs!$A$1:$AAH$1,AssetLocs!$A$6:$AAH$6,"") &amp; ""</f>
        <v/>
      </c>
      <c r="Q85" t="str">
        <f>_xlfn.XLOOKUP($C85,AssetLocs!$A$1:$AAH$1,AssetLocs!$B$6:$AAI$6,"") &amp; ""</f>
        <v/>
      </c>
      <c r="R85" s="7"/>
      <c r="S85" t="str">
        <f>_xlfn.XLOOKUP($C85,AssetLocs!$A$1:$AAH$1,AssetLocs!$A$7:$AAH$7,"") &amp; ""</f>
        <v/>
      </c>
      <c r="T85" t="str">
        <f>_xlfn.XLOOKUP($C85,AssetLocs!$A$1:$AAH$1,AssetLocs!$B$7:$AAI$7,"") &amp; ""</f>
        <v/>
      </c>
      <c r="U85" s="7"/>
      <c r="V85" t="str">
        <f>_xlfn.XLOOKUP($C85,AssetLocs!$A$1:$AAH$1,AssetLocs!$A$8:$AAH$8,"") &amp; ""</f>
        <v/>
      </c>
      <c r="W85" t="str">
        <f>_xlfn.XLOOKUP($C85,AssetLocs!$A$1:$AAH$1,AssetLocs!$B$8:$AAI$8,"") &amp; ""</f>
        <v/>
      </c>
      <c r="X85" s="7"/>
      <c r="Y85" s="11" t="str">
        <f>_xlfn.XLOOKUP($C85,AssetLocs!$A$1:$AAH$1,AssetLocs!$A$9:$AAH$9,"") &amp; ""</f>
        <v/>
      </c>
      <c r="Z85" s="11" t="str">
        <f>_xlfn.XLOOKUP($C85,AssetLocs!$A$1:$AAH$1,AssetLocs!$B$9:$AAI$9,"") &amp; ""</f>
        <v/>
      </c>
      <c r="AA85" s="7"/>
      <c r="AB85" s="11" t="str">
        <f>_xlfn.XLOOKUP($C85,AssetLocs!$A$1:$AAH$1,AssetLocs!$A$10:$AAH$10,"") &amp; ""</f>
        <v/>
      </c>
      <c r="AC85" s="11" t="str">
        <f>_xlfn.XLOOKUP($C85,AssetLocs!$A$1:$AAH$1,AssetLocs!$B$10:$AAI$10,"") &amp; ""</f>
        <v/>
      </c>
      <c r="AD85" s="7"/>
    </row>
    <row r="86" spans="1:30" x14ac:dyDescent="0.2">
      <c r="A86" t="str" cm="1">
        <f t="array" aca="1" ref="A86" ca="1">INDEX(INDIRECT(VLOOKUP($C$4, RoomLocs!$A$2:$B$35,2,)),ROW()-4,COLUMN()) &amp; ""</f>
        <v/>
      </c>
      <c r="B86" t="str" cm="1">
        <f t="array" aca="1" ref="B86" ca="1">INDEX(INDIRECT(VLOOKUP($C$4, RoomLocs!$A$2:$B$35,2,)),ROW()-4,COLUMN()) &amp; ""</f>
        <v/>
      </c>
      <c r="C86" s="7"/>
      <c r="D86" t="str">
        <f>_xlfn.XLOOKUP($C86,AssetLocs!$A$1:$AAH$1,AssetLocs!$A$2:$AAH$2,"") &amp; ""</f>
        <v/>
      </c>
      <c r="E86" t="str">
        <f>_xlfn.XLOOKUP($C86,AssetLocs!$A$1:$AAH$1,AssetLocs!$B$2:$AAI$2,"") &amp; ""</f>
        <v/>
      </c>
      <c r="F86" s="7"/>
      <c r="G86" t="str">
        <f>_xlfn.XLOOKUP($C86,AssetLocs!$A$1:$AAH$1,AssetLocs!$A$3:$AAH$3,"") &amp; ""</f>
        <v/>
      </c>
      <c r="H86" t="str">
        <f>_xlfn.XLOOKUP($C86,AssetLocs!$A$1:$AAH$1,AssetLocs!$B$3:$AAI$3,"") &amp; ""</f>
        <v/>
      </c>
      <c r="I86" s="7"/>
      <c r="J86" t="str">
        <f>_xlfn.XLOOKUP($C86,AssetLocs!$A$1:$AAH$1,AssetLocs!$A$4:$AAH$4,"") &amp; ""</f>
        <v/>
      </c>
      <c r="K86" t="str">
        <f>_xlfn.XLOOKUP($C86,AssetLocs!$A$1:$AAH$1,AssetLocs!$B$4:$AAI$4,"") &amp; ""</f>
        <v/>
      </c>
      <c r="L86" s="7"/>
      <c r="M86" t="str">
        <f>_xlfn.XLOOKUP($C86,AssetLocs!$A$1:$AAH$1,AssetLocs!$A$5:$AAH$5,"") &amp; ""</f>
        <v/>
      </c>
      <c r="N86" t="str">
        <f>_xlfn.XLOOKUP($C86,AssetLocs!$A$1:$AAH$1,AssetLocs!$B$5:$AAI$5,"") &amp; ""</f>
        <v/>
      </c>
      <c r="O86" s="7"/>
      <c r="P86" t="str">
        <f>_xlfn.XLOOKUP($C86,AssetLocs!$A$1:$AAH$1,AssetLocs!$A$6:$AAH$6,"") &amp; ""</f>
        <v/>
      </c>
      <c r="Q86" t="str">
        <f>_xlfn.XLOOKUP($C86,AssetLocs!$A$1:$AAH$1,AssetLocs!$B$6:$AAI$6,"") &amp; ""</f>
        <v/>
      </c>
      <c r="R86" s="7"/>
      <c r="S86" t="str">
        <f>_xlfn.XLOOKUP($C86,AssetLocs!$A$1:$AAH$1,AssetLocs!$A$7:$AAH$7,"") &amp; ""</f>
        <v/>
      </c>
      <c r="T86" t="str">
        <f>_xlfn.XLOOKUP($C86,AssetLocs!$A$1:$AAH$1,AssetLocs!$B$7:$AAI$7,"") &amp; ""</f>
        <v/>
      </c>
      <c r="U86" s="7"/>
      <c r="V86" t="str">
        <f>_xlfn.XLOOKUP($C86,AssetLocs!$A$1:$AAH$1,AssetLocs!$A$8:$AAH$8,"") &amp; ""</f>
        <v/>
      </c>
      <c r="W86" t="str">
        <f>_xlfn.XLOOKUP($C86,AssetLocs!$A$1:$AAH$1,AssetLocs!$B$8:$AAI$8,"") &amp; ""</f>
        <v/>
      </c>
      <c r="X86" s="7"/>
      <c r="Y86" s="11" t="str">
        <f>_xlfn.XLOOKUP($C86,AssetLocs!$A$1:$AAH$1,AssetLocs!$A$9:$AAH$9,"") &amp; ""</f>
        <v/>
      </c>
      <c r="Z86" s="11" t="str">
        <f>_xlfn.XLOOKUP($C86,AssetLocs!$A$1:$AAH$1,AssetLocs!$B$9:$AAI$9,"") &amp; ""</f>
        <v/>
      </c>
      <c r="AA86" s="7"/>
      <c r="AB86" s="11" t="str">
        <f>_xlfn.XLOOKUP($C86,AssetLocs!$A$1:$AAH$1,AssetLocs!$A$10:$AAH$10,"") &amp; ""</f>
        <v/>
      </c>
      <c r="AC86" s="11" t="str">
        <f>_xlfn.XLOOKUP($C86,AssetLocs!$A$1:$AAH$1,AssetLocs!$B$10:$AAI$10,"") &amp; ""</f>
        <v/>
      </c>
      <c r="AD86" s="7"/>
    </row>
    <row r="87" spans="1:30" x14ac:dyDescent="0.2">
      <c r="A87" t="str" cm="1">
        <f t="array" aca="1" ref="A87" ca="1">INDEX(INDIRECT(VLOOKUP($C$4, RoomLocs!$A$2:$B$35,2,)),ROW()-4,COLUMN()) &amp; ""</f>
        <v/>
      </c>
      <c r="B87" t="str" cm="1">
        <f t="array" aca="1" ref="B87" ca="1">INDEX(INDIRECT(VLOOKUP($C$4, RoomLocs!$A$2:$B$35,2,)),ROW()-4,COLUMN()) &amp; ""</f>
        <v/>
      </c>
      <c r="C87" s="7"/>
      <c r="D87" t="str">
        <f>_xlfn.XLOOKUP($C87,AssetLocs!$A$1:$AAH$1,AssetLocs!$A$2:$AAH$2,"") &amp; ""</f>
        <v/>
      </c>
      <c r="E87" t="str">
        <f>_xlfn.XLOOKUP($C87,AssetLocs!$A$1:$AAH$1,AssetLocs!$B$2:$AAI$2,"") &amp; ""</f>
        <v/>
      </c>
      <c r="F87" s="7"/>
      <c r="G87" t="str">
        <f>_xlfn.XLOOKUP($C87,AssetLocs!$A$1:$AAH$1,AssetLocs!$A$3:$AAH$3,"") &amp; ""</f>
        <v/>
      </c>
      <c r="H87" t="str">
        <f>_xlfn.XLOOKUP($C87,AssetLocs!$A$1:$AAH$1,AssetLocs!$B$3:$AAI$3,"") &amp; ""</f>
        <v/>
      </c>
      <c r="I87" s="7"/>
      <c r="J87" t="str">
        <f>_xlfn.XLOOKUP($C87,AssetLocs!$A$1:$AAH$1,AssetLocs!$A$4:$AAH$4,"") &amp; ""</f>
        <v/>
      </c>
      <c r="K87" t="str">
        <f>_xlfn.XLOOKUP($C87,AssetLocs!$A$1:$AAH$1,AssetLocs!$B$4:$AAI$4,"") &amp; ""</f>
        <v/>
      </c>
      <c r="L87" s="7"/>
      <c r="M87" t="str">
        <f>_xlfn.XLOOKUP($C87,AssetLocs!$A$1:$AAH$1,AssetLocs!$A$5:$AAH$5,"") &amp; ""</f>
        <v/>
      </c>
      <c r="N87" t="str">
        <f>_xlfn.XLOOKUP($C87,AssetLocs!$A$1:$AAH$1,AssetLocs!$B$5:$AAI$5,"") &amp; ""</f>
        <v/>
      </c>
      <c r="O87" s="7"/>
      <c r="P87" t="str">
        <f>_xlfn.XLOOKUP($C87,AssetLocs!$A$1:$AAH$1,AssetLocs!$A$6:$AAH$6,"") &amp; ""</f>
        <v/>
      </c>
      <c r="Q87" t="str">
        <f>_xlfn.XLOOKUP($C87,AssetLocs!$A$1:$AAH$1,AssetLocs!$B$6:$AAI$6,"") &amp; ""</f>
        <v/>
      </c>
      <c r="R87" s="7"/>
      <c r="S87" t="str">
        <f>_xlfn.XLOOKUP($C87,AssetLocs!$A$1:$AAH$1,AssetLocs!$A$7:$AAH$7,"") &amp; ""</f>
        <v/>
      </c>
      <c r="T87" t="str">
        <f>_xlfn.XLOOKUP($C87,AssetLocs!$A$1:$AAH$1,AssetLocs!$B$7:$AAI$7,"") &amp; ""</f>
        <v/>
      </c>
      <c r="U87" s="7"/>
      <c r="V87" t="str">
        <f>_xlfn.XLOOKUP($C87,AssetLocs!$A$1:$AAH$1,AssetLocs!$A$8:$AAH$8,"") &amp; ""</f>
        <v/>
      </c>
      <c r="W87" t="str">
        <f>_xlfn.XLOOKUP($C87,AssetLocs!$A$1:$AAH$1,AssetLocs!$B$8:$AAI$8,"") &amp; ""</f>
        <v/>
      </c>
      <c r="X87" s="7"/>
      <c r="Y87" s="11" t="str">
        <f>_xlfn.XLOOKUP($C87,AssetLocs!$A$1:$AAH$1,AssetLocs!$A$9:$AAH$9,"") &amp; ""</f>
        <v/>
      </c>
      <c r="Z87" s="11" t="str">
        <f>_xlfn.XLOOKUP($C87,AssetLocs!$A$1:$AAH$1,AssetLocs!$B$9:$AAI$9,"") &amp; ""</f>
        <v/>
      </c>
      <c r="AA87" s="7"/>
      <c r="AB87" s="11" t="str">
        <f>_xlfn.XLOOKUP($C87,AssetLocs!$A$1:$AAH$1,AssetLocs!$A$10:$AAH$10,"") &amp; ""</f>
        <v/>
      </c>
      <c r="AC87" s="11" t="str">
        <f>_xlfn.XLOOKUP($C87,AssetLocs!$A$1:$AAH$1,AssetLocs!$B$10:$AAI$10,"") &amp; ""</f>
        <v/>
      </c>
      <c r="AD87" s="7"/>
    </row>
    <row r="88" spans="1:30" x14ac:dyDescent="0.2">
      <c r="A88" t="str" cm="1">
        <f t="array" aca="1" ref="A88" ca="1">INDEX(INDIRECT(VLOOKUP($C$4, RoomLocs!$A$2:$B$35,2,)),ROW()-4,COLUMN()) &amp; ""</f>
        <v/>
      </c>
      <c r="B88" t="str" cm="1">
        <f t="array" aca="1" ref="B88" ca="1">INDEX(INDIRECT(VLOOKUP($C$4, RoomLocs!$A$2:$B$35,2,)),ROW()-4,COLUMN()) &amp; ""</f>
        <v/>
      </c>
      <c r="C88" s="7"/>
      <c r="D88" t="str">
        <f>_xlfn.XLOOKUP($C88,AssetLocs!$A$1:$AAH$1,AssetLocs!$A$2:$AAH$2,"") &amp; ""</f>
        <v/>
      </c>
      <c r="E88" t="str">
        <f>_xlfn.XLOOKUP($C88,AssetLocs!$A$1:$AAH$1,AssetLocs!$B$2:$AAI$2,"") &amp; ""</f>
        <v/>
      </c>
      <c r="F88" s="7"/>
      <c r="G88" t="str">
        <f>_xlfn.XLOOKUP($C88,AssetLocs!$A$1:$AAH$1,AssetLocs!$A$3:$AAH$3,"") &amp; ""</f>
        <v/>
      </c>
      <c r="H88" t="str">
        <f>_xlfn.XLOOKUP($C88,AssetLocs!$A$1:$AAH$1,AssetLocs!$B$3:$AAI$3,"") &amp; ""</f>
        <v/>
      </c>
      <c r="I88" s="7"/>
      <c r="J88" t="str">
        <f>_xlfn.XLOOKUP($C88,AssetLocs!$A$1:$AAH$1,AssetLocs!$A$4:$AAH$4,"") &amp; ""</f>
        <v/>
      </c>
      <c r="K88" t="str">
        <f>_xlfn.XLOOKUP($C88,AssetLocs!$A$1:$AAH$1,AssetLocs!$B$4:$AAI$4,"") &amp; ""</f>
        <v/>
      </c>
      <c r="L88" s="7"/>
      <c r="M88" t="str">
        <f>_xlfn.XLOOKUP($C88,AssetLocs!$A$1:$AAH$1,AssetLocs!$A$5:$AAH$5,"") &amp; ""</f>
        <v/>
      </c>
      <c r="N88" t="str">
        <f>_xlfn.XLOOKUP($C88,AssetLocs!$A$1:$AAH$1,AssetLocs!$B$5:$AAI$5,"") &amp; ""</f>
        <v/>
      </c>
      <c r="O88" s="7"/>
      <c r="P88" t="str">
        <f>_xlfn.XLOOKUP($C88,AssetLocs!$A$1:$AAH$1,AssetLocs!$A$6:$AAH$6,"") &amp; ""</f>
        <v/>
      </c>
      <c r="Q88" t="str">
        <f>_xlfn.XLOOKUP($C88,AssetLocs!$A$1:$AAH$1,AssetLocs!$B$6:$AAI$6,"") &amp; ""</f>
        <v/>
      </c>
      <c r="R88" s="7"/>
      <c r="S88" t="str">
        <f>_xlfn.XLOOKUP($C88,AssetLocs!$A$1:$AAH$1,AssetLocs!$A$7:$AAH$7,"") &amp; ""</f>
        <v/>
      </c>
      <c r="T88" t="str">
        <f>_xlfn.XLOOKUP($C88,AssetLocs!$A$1:$AAH$1,AssetLocs!$B$7:$AAI$7,"") &amp; ""</f>
        <v/>
      </c>
      <c r="U88" s="7"/>
      <c r="V88" t="str">
        <f>_xlfn.XLOOKUP($C88,AssetLocs!$A$1:$AAH$1,AssetLocs!$A$8:$AAH$8,"") &amp; ""</f>
        <v/>
      </c>
      <c r="W88" t="str">
        <f>_xlfn.XLOOKUP($C88,AssetLocs!$A$1:$AAH$1,AssetLocs!$B$8:$AAI$8,"") &amp; ""</f>
        <v/>
      </c>
      <c r="X88" s="7"/>
      <c r="Y88" s="11" t="str">
        <f>_xlfn.XLOOKUP($C88,AssetLocs!$A$1:$AAH$1,AssetLocs!$A$9:$AAH$9,"") &amp; ""</f>
        <v/>
      </c>
      <c r="Z88" s="11" t="str">
        <f>_xlfn.XLOOKUP($C88,AssetLocs!$A$1:$AAH$1,AssetLocs!$B$9:$AAI$9,"") &amp; ""</f>
        <v/>
      </c>
      <c r="AA88" s="7"/>
      <c r="AB88" s="11" t="str">
        <f>_xlfn.XLOOKUP($C88,AssetLocs!$A$1:$AAH$1,AssetLocs!$A$10:$AAH$10,"") &amp; ""</f>
        <v/>
      </c>
      <c r="AC88" s="11" t="str">
        <f>_xlfn.XLOOKUP($C88,AssetLocs!$A$1:$AAH$1,AssetLocs!$B$10:$AAI$10,"") &amp; ""</f>
        <v/>
      </c>
      <c r="AD88" s="7"/>
    </row>
    <row r="89" spans="1:30" x14ac:dyDescent="0.2">
      <c r="A89" t="str" cm="1">
        <f t="array" aca="1" ref="A89" ca="1">INDEX(INDIRECT(VLOOKUP($C$4, RoomLocs!$A$2:$B$35,2,)),ROW()-4,COLUMN()) &amp; ""</f>
        <v/>
      </c>
      <c r="B89" t="str" cm="1">
        <f t="array" aca="1" ref="B89" ca="1">INDEX(INDIRECT(VLOOKUP($C$4, RoomLocs!$A$2:$B$35,2,)),ROW()-4,COLUMN()) &amp; ""</f>
        <v/>
      </c>
      <c r="C89" s="7"/>
      <c r="D89" t="str">
        <f>_xlfn.XLOOKUP($C89,AssetLocs!$A$1:$AAH$1,AssetLocs!$A$2:$AAH$2,"") &amp; ""</f>
        <v/>
      </c>
      <c r="E89" t="str">
        <f>_xlfn.XLOOKUP($C89,AssetLocs!$A$1:$AAH$1,AssetLocs!$B$2:$AAI$2,"") &amp; ""</f>
        <v/>
      </c>
      <c r="F89" s="7"/>
      <c r="G89" t="str">
        <f>_xlfn.XLOOKUP($C89,AssetLocs!$A$1:$AAH$1,AssetLocs!$A$3:$AAH$3,"") &amp; ""</f>
        <v/>
      </c>
      <c r="H89" t="str">
        <f>_xlfn.XLOOKUP($C89,AssetLocs!$A$1:$AAH$1,AssetLocs!$B$3:$AAI$3,"") &amp; ""</f>
        <v/>
      </c>
      <c r="I89" s="7"/>
      <c r="J89" t="str">
        <f>_xlfn.XLOOKUP($C89,AssetLocs!$A$1:$AAH$1,AssetLocs!$A$4:$AAH$4,"") &amp; ""</f>
        <v/>
      </c>
      <c r="K89" t="str">
        <f>_xlfn.XLOOKUP($C89,AssetLocs!$A$1:$AAH$1,AssetLocs!$B$4:$AAI$4,"") &amp; ""</f>
        <v/>
      </c>
      <c r="L89" s="7"/>
      <c r="M89" t="str">
        <f>_xlfn.XLOOKUP($C89,AssetLocs!$A$1:$AAH$1,AssetLocs!$A$5:$AAH$5,"") &amp; ""</f>
        <v/>
      </c>
      <c r="N89" t="str">
        <f>_xlfn.XLOOKUP($C89,AssetLocs!$A$1:$AAH$1,AssetLocs!$B$5:$AAI$5,"") &amp; ""</f>
        <v/>
      </c>
      <c r="O89" s="7"/>
      <c r="P89" t="str">
        <f>_xlfn.XLOOKUP($C89,AssetLocs!$A$1:$AAH$1,AssetLocs!$A$6:$AAH$6,"") &amp; ""</f>
        <v/>
      </c>
      <c r="Q89" t="str">
        <f>_xlfn.XLOOKUP($C89,AssetLocs!$A$1:$AAH$1,AssetLocs!$B$6:$AAI$6,"") &amp; ""</f>
        <v/>
      </c>
      <c r="R89" s="7"/>
      <c r="S89" t="str">
        <f>_xlfn.XLOOKUP($C89,AssetLocs!$A$1:$AAH$1,AssetLocs!$A$7:$AAH$7,"") &amp; ""</f>
        <v/>
      </c>
      <c r="T89" t="str">
        <f>_xlfn.XLOOKUP($C89,AssetLocs!$A$1:$AAH$1,AssetLocs!$B$7:$AAI$7,"") &amp; ""</f>
        <v/>
      </c>
      <c r="U89" s="7"/>
      <c r="V89" t="str">
        <f>_xlfn.XLOOKUP($C89,AssetLocs!$A$1:$AAH$1,AssetLocs!$A$8:$AAH$8,"") &amp; ""</f>
        <v/>
      </c>
      <c r="W89" t="str">
        <f>_xlfn.XLOOKUP($C89,AssetLocs!$A$1:$AAH$1,AssetLocs!$B$8:$AAI$8,"") &amp; ""</f>
        <v/>
      </c>
      <c r="X89" s="7"/>
      <c r="Y89" s="11" t="str">
        <f>_xlfn.XLOOKUP($C89,AssetLocs!$A$1:$AAH$1,AssetLocs!$A$9:$AAH$9,"") &amp; ""</f>
        <v/>
      </c>
      <c r="Z89" s="11" t="str">
        <f>_xlfn.XLOOKUP($C89,AssetLocs!$A$1:$AAH$1,AssetLocs!$B$9:$AAI$9,"") &amp; ""</f>
        <v/>
      </c>
      <c r="AA89" s="7"/>
      <c r="AB89" s="11" t="str">
        <f>_xlfn.XLOOKUP($C89,AssetLocs!$A$1:$AAH$1,AssetLocs!$A$10:$AAH$10,"") &amp; ""</f>
        <v/>
      </c>
      <c r="AC89" s="11" t="str">
        <f>_xlfn.XLOOKUP($C89,AssetLocs!$A$1:$AAH$1,AssetLocs!$B$10:$AAI$10,"") &amp; ""</f>
        <v/>
      </c>
      <c r="AD89" s="7"/>
    </row>
    <row r="90" spans="1:30" x14ac:dyDescent="0.2">
      <c r="A90" t="str" cm="1">
        <f t="array" aca="1" ref="A90" ca="1">INDEX(INDIRECT(VLOOKUP($C$4, RoomLocs!$A$2:$B$35,2,)),ROW()-4,COLUMN()) &amp; ""</f>
        <v/>
      </c>
      <c r="B90" t="str" cm="1">
        <f t="array" aca="1" ref="B90" ca="1">INDEX(INDIRECT(VLOOKUP($C$4, RoomLocs!$A$2:$B$35,2,)),ROW()-4,COLUMN()) &amp; ""</f>
        <v/>
      </c>
      <c r="C90" s="7"/>
      <c r="D90" t="str">
        <f>_xlfn.XLOOKUP($C90,AssetLocs!$A$1:$AAH$1,AssetLocs!$A$2:$AAH$2,"") &amp; ""</f>
        <v/>
      </c>
      <c r="E90" t="str">
        <f>_xlfn.XLOOKUP($C90,AssetLocs!$A$1:$AAH$1,AssetLocs!$B$2:$AAI$2,"") &amp; ""</f>
        <v/>
      </c>
      <c r="F90" s="7"/>
      <c r="G90" t="str">
        <f>_xlfn.XLOOKUP($C90,AssetLocs!$A$1:$AAH$1,AssetLocs!$A$3:$AAH$3,"") &amp; ""</f>
        <v/>
      </c>
      <c r="H90" t="str">
        <f>_xlfn.XLOOKUP($C90,AssetLocs!$A$1:$AAH$1,AssetLocs!$B$3:$AAI$3,"") &amp; ""</f>
        <v/>
      </c>
      <c r="I90" s="7"/>
      <c r="J90" t="str">
        <f>_xlfn.XLOOKUP($C90,AssetLocs!$A$1:$AAH$1,AssetLocs!$A$4:$AAH$4,"") &amp; ""</f>
        <v/>
      </c>
      <c r="K90" t="str">
        <f>_xlfn.XLOOKUP($C90,AssetLocs!$A$1:$AAH$1,AssetLocs!$B$4:$AAI$4,"") &amp; ""</f>
        <v/>
      </c>
      <c r="L90" s="7"/>
      <c r="M90" t="str">
        <f>_xlfn.XLOOKUP($C90,AssetLocs!$A$1:$AAH$1,AssetLocs!$A$5:$AAH$5,"") &amp; ""</f>
        <v/>
      </c>
      <c r="N90" t="str">
        <f>_xlfn.XLOOKUP($C90,AssetLocs!$A$1:$AAH$1,AssetLocs!$B$5:$AAI$5,"") &amp; ""</f>
        <v/>
      </c>
      <c r="O90" s="7"/>
      <c r="P90" t="str">
        <f>_xlfn.XLOOKUP($C90,AssetLocs!$A$1:$AAH$1,AssetLocs!$A$6:$AAH$6,"") &amp; ""</f>
        <v/>
      </c>
      <c r="Q90" t="str">
        <f>_xlfn.XLOOKUP($C90,AssetLocs!$A$1:$AAH$1,AssetLocs!$B$6:$AAI$6,"") &amp; ""</f>
        <v/>
      </c>
      <c r="R90" s="7"/>
      <c r="S90" t="str">
        <f>_xlfn.XLOOKUP($C90,AssetLocs!$A$1:$AAH$1,AssetLocs!$A$7:$AAH$7,"") &amp; ""</f>
        <v/>
      </c>
      <c r="T90" t="str">
        <f>_xlfn.XLOOKUP($C90,AssetLocs!$A$1:$AAH$1,AssetLocs!$B$7:$AAI$7,"") &amp; ""</f>
        <v/>
      </c>
      <c r="U90" s="7"/>
      <c r="V90" t="str">
        <f>_xlfn.XLOOKUP($C90,AssetLocs!$A$1:$AAH$1,AssetLocs!$A$8:$AAH$8,"") &amp; ""</f>
        <v/>
      </c>
      <c r="W90" t="str">
        <f>_xlfn.XLOOKUP($C90,AssetLocs!$A$1:$AAH$1,AssetLocs!$B$8:$AAI$8,"") &amp; ""</f>
        <v/>
      </c>
      <c r="X90" s="7"/>
      <c r="Y90" s="11" t="str">
        <f>_xlfn.XLOOKUP($C90,AssetLocs!$A$1:$AAH$1,AssetLocs!$A$9:$AAH$9,"") &amp; ""</f>
        <v/>
      </c>
      <c r="Z90" s="11" t="str">
        <f>_xlfn.XLOOKUP($C90,AssetLocs!$A$1:$AAH$1,AssetLocs!$B$9:$AAI$9,"") &amp; ""</f>
        <v/>
      </c>
      <c r="AA90" s="7"/>
      <c r="AB90" s="11" t="str">
        <f>_xlfn.XLOOKUP($C90,AssetLocs!$A$1:$AAH$1,AssetLocs!$A$10:$AAH$10,"") &amp; ""</f>
        <v/>
      </c>
      <c r="AC90" s="11" t="str">
        <f>_xlfn.XLOOKUP($C90,AssetLocs!$A$1:$AAH$1,AssetLocs!$B$10:$AAI$10,"") &amp; ""</f>
        <v/>
      </c>
      <c r="AD90" s="7"/>
    </row>
    <row r="91" spans="1:30" x14ac:dyDescent="0.2">
      <c r="A91" t="str" cm="1">
        <f t="array" aca="1" ref="A91" ca="1">INDEX(INDIRECT(VLOOKUP($C$4, RoomLocs!$A$2:$B$35,2,)),ROW()-4,COLUMN()) &amp; ""</f>
        <v/>
      </c>
      <c r="B91" t="str" cm="1">
        <f t="array" aca="1" ref="B91" ca="1">INDEX(INDIRECT(VLOOKUP($C$4, RoomLocs!$A$2:$B$35,2,)),ROW()-4,COLUMN()) &amp; ""</f>
        <v/>
      </c>
      <c r="C91" s="7"/>
      <c r="D91" t="str">
        <f>_xlfn.XLOOKUP($C91,AssetLocs!$A$1:$AAH$1,AssetLocs!$A$2:$AAH$2,"") &amp; ""</f>
        <v/>
      </c>
      <c r="E91" t="str">
        <f>_xlfn.XLOOKUP($C91,AssetLocs!$A$1:$AAH$1,AssetLocs!$B$2:$AAI$2,"") &amp; ""</f>
        <v/>
      </c>
      <c r="F91" s="7"/>
      <c r="G91" t="str">
        <f>_xlfn.XLOOKUP($C91,AssetLocs!$A$1:$AAH$1,AssetLocs!$A$3:$AAH$3,"") &amp; ""</f>
        <v/>
      </c>
      <c r="H91" t="str">
        <f>_xlfn.XLOOKUP($C91,AssetLocs!$A$1:$AAH$1,AssetLocs!$B$3:$AAI$3,"") &amp; ""</f>
        <v/>
      </c>
      <c r="I91" s="7"/>
      <c r="J91" t="str">
        <f>_xlfn.XLOOKUP($C91,AssetLocs!$A$1:$AAH$1,AssetLocs!$A$4:$AAH$4,"") &amp; ""</f>
        <v/>
      </c>
      <c r="K91" t="str">
        <f>_xlfn.XLOOKUP($C91,AssetLocs!$A$1:$AAH$1,AssetLocs!$B$4:$AAI$4,"") &amp; ""</f>
        <v/>
      </c>
      <c r="L91" s="7"/>
      <c r="M91" t="str">
        <f>_xlfn.XLOOKUP($C91,AssetLocs!$A$1:$AAH$1,AssetLocs!$A$5:$AAH$5,"") &amp; ""</f>
        <v/>
      </c>
      <c r="N91" t="str">
        <f>_xlfn.XLOOKUP($C91,AssetLocs!$A$1:$AAH$1,AssetLocs!$B$5:$AAI$5,"") &amp; ""</f>
        <v/>
      </c>
      <c r="O91" s="7"/>
      <c r="P91" t="str">
        <f>_xlfn.XLOOKUP($C91,AssetLocs!$A$1:$AAH$1,AssetLocs!$A$6:$AAH$6,"") &amp; ""</f>
        <v/>
      </c>
      <c r="Q91" t="str">
        <f>_xlfn.XLOOKUP($C91,AssetLocs!$A$1:$AAH$1,AssetLocs!$B$6:$AAI$6,"") &amp; ""</f>
        <v/>
      </c>
      <c r="R91" s="7"/>
      <c r="S91" t="str">
        <f>_xlfn.XLOOKUP($C91,AssetLocs!$A$1:$AAH$1,AssetLocs!$A$7:$AAH$7,"") &amp; ""</f>
        <v/>
      </c>
      <c r="T91" t="str">
        <f>_xlfn.XLOOKUP($C91,AssetLocs!$A$1:$AAH$1,AssetLocs!$B$7:$AAI$7,"") &amp; ""</f>
        <v/>
      </c>
      <c r="U91" s="7"/>
      <c r="V91" t="str">
        <f>_xlfn.XLOOKUP($C91,AssetLocs!$A$1:$AAH$1,AssetLocs!$A$8:$AAH$8,"") &amp; ""</f>
        <v/>
      </c>
      <c r="W91" t="str">
        <f>_xlfn.XLOOKUP($C91,AssetLocs!$A$1:$AAH$1,AssetLocs!$B$8:$AAI$8,"") &amp; ""</f>
        <v/>
      </c>
      <c r="X91" s="7"/>
      <c r="Y91" s="11" t="str">
        <f>_xlfn.XLOOKUP($C91,AssetLocs!$A$1:$AAH$1,AssetLocs!$A$9:$AAH$9,"") &amp; ""</f>
        <v/>
      </c>
      <c r="Z91" s="11" t="str">
        <f>_xlfn.XLOOKUP($C91,AssetLocs!$A$1:$AAH$1,AssetLocs!$B$9:$AAI$9,"") &amp; ""</f>
        <v/>
      </c>
      <c r="AA91" s="7"/>
      <c r="AB91" s="11" t="str">
        <f>_xlfn.XLOOKUP($C91,AssetLocs!$A$1:$AAH$1,AssetLocs!$A$10:$AAH$10,"") &amp; ""</f>
        <v/>
      </c>
      <c r="AC91" s="11" t="str">
        <f>_xlfn.XLOOKUP($C91,AssetLocs!$A$1:$AAH$1,AssetLocs!$B$10:$AAI$10,"") &amp; ""</f>
        <v/>
      </c>
      <c r="AD91" s="7"/>
    </row>
    <row r="92" spans="1:30" x14ac:dyDescent="0.2">
      <c r="A92" t="str" cm="1">
        <f t="array" aca="1" ref="A92" ca="1">INDEX(INDIRECT(VLOOKUP($C$4, RoomLocs!$A$2:$B$35,2,)),ROW()-4,COLUMN()) &amp; ""</f>
        <v/>
      </c>
      <c r="B92" t="str" cm="1">
        <f t="array" aca="1" ref="B92" ca="1">INDEX(INDIRECT(VLOOKUP($C$4, RoomLocs!$A$2:$B$35,2,)),ROW()-4,COLUMN()) &amp; ""</f>
        <v/>
      </c>
      <c r="C92" s="7"/>
      <c r="D92" t="str">
        <f>_xlfn.XLOOKUP($C92,AssetLocs!$A$1:$AAH$1,AssetLocs!$A$2:$AAH$2,"") &amp; ""</f>
        <v/>
      </c>
      <c r="E92" t="str">
        <f>_xlfn.XLOOKUP($C92,AssetLocs!$A$1:$AAH$1,AssetLocs!$B$2:$AAI$2,"") &amp; ""</f>
        <v/>
      </c>
      <c r="F92" s="7"/>
      <c r="G92" t="str">
        <f>_xlfn.XLOOKUP($C92,AssetLocs!$A$1:$AAH$1,AssetLocs!$A$3:$AAH$3,"") &amp; ""</f>
        <v/>
      </c>
      <c r="H92" t="str">
        <f>_xlfn.XLOOKUP($C92,AssetLocs!$A$1:$AAH$1,AssetLocs!$B$3:$AAI$3,"") &amp; ""</f>
        <v/>
      </c>
      <c r="I92" s="7"/>
      <c r="J92" t="str">
        <f>_xlfn.XLOOKUP($C92,AssetLocs!$A$1:$AAH$1,AssetLocs!$A$4:$AAH$4,"") &amp; ""</f>
        <v/>
      </c>
      <c r="K92" t="str">
        <f>_xlfn.XLOOKUP($C92,AssetLocs!$A$1:$AAH$1,AssetLocs!$B$4:$AAI$4,"") &amp; ""</f>
        <v/>
      </c>
      <c r="L92" s="7"/>
      <c r="M92" t="str">
        <f>_xlfn.XLOOKUP($C92,AssetLocs!$A$1:$AAH$1,AssetLocs!$A$5:$AAH$5,"") &amp; ""</f>
        <v/>
      </c>
      <c r="N92" t="str">
        <f>_xlfn.XLOOKUP($C92,AssetLocs!$A$1:$AAH$1,AssetLocs!$B$5:$AAI$5,"") &amp; ""</f>
        <v/>
      </c>
      <c r="O92" s="7"/>
      <c r="P92" t="str">
        <f>_xlfn.XLOOKUP($C92,AssetLocs!$A$1:$AAH$1,AssetLocs!$A$6:$AAH$6,"") &amp; ""</f>
        <v/>
      </c>
      <c r="Q92" t="str">
        <f>_xlfn.XLOOKUP($C92,AssetLocs!$A$1:$AAH$1,AssetLocs!$B$6:$AAI$6,"") &amp; ""</f>
        <v/>
      </c>
      <c r="R92" s="7"/>
      <c r="S92" t="str">
        <f>_xlfn.XLOOKUP($C92,AssetLocs!$A$1:$AAH$1,AssetLocs!$A$7:$AAH$7,"") &amp; ""</f>
        <v/>
      </c>
      <c r="T92" t="str">
        <f>_xlfn.XLOOKUP($C92,AssetLocs!$A$1:$AAH$1,AssetLocs!$B$7:$AAI$7,"") &amp; ""</f>
        <v/>
      </c>
      <c r="U92" s="7"/>
      <c r="V92" t="str">
        <f>_xlfn.XLOOKUP($C92,AssetLocs!$A$1:$AAH$1,AssetLocs!$A$8:$AAH$8,"") &amp; ""</f>
        <v/>
      </c>
      <c r="W92" t="str">
        <f>_xlfn.XLOOKUP($C92,AssetLocs!$A$1:$AAH$1,AssetLocs!$B$8:$AAI$8,"") &amp; ""</f>
        <v/>
      </c>
      <c r="X92" s="7"/>
      <c r="Y92" s="11" t="str">
        <f>_xlfn.XLOOKUP($C92,AssetLocs!$A$1:$AAH$1,AssetLocs!$A$9:$AAH$9,"") &amp; ""</f>
        <v/>
      </c>
      <c r="Z92" s="11" t="str">
        <f>_xlfn.XLOOKUP($C92,AssetLocs!$A$1:$AAH$1,AssetLocs!$B$9:$AAI$9,"") &amp; ""</f>
        <v/>
      </c>
      <c r="AA92" s="7"/>
      <c r="AB92" s="11" t="str">
        <f>_xlfn.XLOOKUP($C92,AssetLocs!$A$1:$AAH$1,AssetLocs!$A$10:$AAH$10,"") &amp; ""</f>
        <v/>
      </c>
      <c r="AC92" s="11" t="str">
        <f>_xlfn.XLOOKUP($C92,AssetLocs!$A$1:$AAH$1,AssetLocs!$B$10:$AAI$10,"") &amp; ""</f>
        <v/>
      </c>
      <c r="AD92" s="7"/>
    </row>
    <row r="93" spans="1:30" x14ac:dyDescent="0.2">
      <c r="A93" t="str" cm="1">
        <f t="array" aca="1" ref="A93" ca="1">INDEX(INDIRECT(VLOOKUP($C$4, RoomLocs!$A$2:$B$35,2,)),ROW()-4,COLUMN()) &amp; ""</f>
        <v/>
      </c>
      <c r="B93" t="str" cm="1">
        <f t="array" aca="1" ref="B93" ca="1">INDEX(INDIRECT(VLOOKUP($C$4, RoomLocs!$A$2:$B$35,2,)),ROW()-4,COLUMN()) &amp; ""</f>
        <v/>
      </c>
      <c r="C93" s="7"/>
      <c r="D93" t="str">
        <f>_xlfn.XLOOKUP($C93,AssetLocs!$A$1:$AAH$1,AssetLocs!$A$2:$AAH$2,"") &amp; ""</f>
        <v/>
      </c>
      <c r="E93" t="str">
        <f>_xlfn.XLOOKUP($C93,AssetLocs!$A$1:$AAH$1,AssetLocs!$B$2:$AAI$2,"") &amp; ""</f>
        <v/>
      </c>
      <c r="F93" s="7"/>
      <c r="G93" t="str">
        <f>_xlfn.XLOOKUP($C93,AssetLocs!$A$1:$AAH$1,AssetLocs!$A$3:$AAH$3,"") &amp; ""</f>
        <v/>
      </c>
      <c r="H93" t="str">
        <f>_xlfn.XLOOKUP($C93,AssetLocs!$A$1:$AAH$1,AssetLocs!$B$3:$AAI$3,"") &amp; ""</f>
        <v/>
      </c>
      <c r="I93" s="7"/>
      <c r="J93" t="str">
        <f>_xlfn.XLOOKUP($C93,AssetLocs!$A$1:$AAH$1,AssetLocs!$A$4:$AAH$4,"") &amp; ""</f>
        <v/>
      </c>
      <c r="K93" t="str">
        <f>_xlfn.XLOOKUP($C93,AssetLocs!$A$1:$AAH$1,AssetLocs!$B$4:$AAI$4,"") &amp; ""</f>
        <v/>
      </c>
      <c r="L93" s="7"/>
      <c r="M93" t="str">
        <f>_xlfn.XLOOKUP($C93,AssetLocs!$A$1:$AAH$1,AssetLocs!$A$5:$AAH$5,"") &amp; ""</f>
        <v/>
      </c>
      <c r="N93" t="str">
        <f>_xlfn.XLOOKUP($C93,AssetLocs!$A$1:$AAH$1,AssetLocs!$B$5:$AAI$5,"") &amp; ""</f>
        <v/>
      </c>
      <c r="O93" s="7"/>
      <c r="P93" t="str">
        <f>_xlfn.XLOOKUP($C93,AssetLocs!$A$1:$AAH$1,AssetLocs!$A$6:$AAH$6,"") &amp; ""</f>
        <v/>
      </c>
      <c r="Q93" t="str">
        <f>_xlfn.XLOOKUP($C93,AssetLocs!$A$1:$AAH$1,AssetLocs!$B$6:$AAI$6,"") &amp; ""</f>
        <v/>
      </c>
      <c r="R93" s="7"/>
      <c r="S93" t="str">
        <f>_xlfn.XLOOKUP($C93,AssetLocs!$A$1:$AAH$1,AssetLocs!$A$7:$AAH$7,"") &amp; ""</f>
        <v/>
      </c>
      <c r="T93" t="str">
        <f>_xlfn.XLOOKUP($C93,AssetLocs!$A$1:$AAH$1,AssetLocs!$B$7:$AAI$7,"") &amp; ""</f>
        <v/>
      </c>
      <c r="U93" s="7"/>
      <c r="V93" t="str">
        <f>_xlfn.XLOOKUP($C93,AssetLocs!$A$1:$AAH$1,AssetLocs!$A$8:$AAH$8,"") &amp; ""</f>
        <v/>
      </c>
      <c r="W93" t="str">
        <f>_xlfn.XLOOKUP($C93,AssetLocs!$A$1:$AAH$1,AssetLocs!$B$8:$AAI$8,"") &amp; ""</f>
        <v/>
      </c>
      <c r="X93" s="7"/>
      <c r="Y93" s="11" t="str">
        <f>_xlfn.XLOOKUP($C93,AssetLocs!$A$1:$AAH$1,AssetLocs!$A$9:$AAH$9,"") &amp; ""</f>
        <v/>
      </c>
      <c r="Z93" s="11" t="str">
        <f>_xlfn.XLOOKUP($C93,AssetLocs!$A$1:$AAH$1,AssetLocs!$B$9:$AAI$9,"") &amp; ""</f>
        <v/>
      </c>
      <c r="AA93" s="7"/>
      <c r="AB93" s="11" t="str">
        <f>_xlfn.XLOOKUP($C93,AssetLocs!$A$1:$AAH$1,AssetLocs!$A$10:$AAH$10,"") &amp; ""</f>
        <v/>
      </c>
      <c r="AC93" s="11" t="str">
        <f>_xlfn.XLOOKUP($C93,AssetLocs!$A$1:$AAH$1,AssetLocs!$B$10:$AAI$10,"") &amp; ""</f>
        <v/>
      </c>
      <c r="AD93" s="7"/>
    </row>
    <row r="94" spans="1:30" x14ac:dyDescent="0.2">
      <c r="A94" t="str" cm="1">
        <f t="array" aca="1" ref="A94" ca="1">INDEX(INDIRECT(VLOOKUP($C$4, RoomLocs!$A$2:$B$35,2,)),ROW()-4,COLUMN()) &amp; ""</f>
        <v/>
      </c>
      <c r="B94" t="str" cm="1">
        <f t="array" aca="1" ref="B94" ca="1">INDEX(INDIRECT(VLOOKUP($C$4, RoomLocs!$A$2:$B$35,2,)),ROW()-4,COLUMN()) &amp; ""</f>
        <v/>
      </c>
      <c r="C94" s="7"/>
      <c r="D94" t="str">
        <f>_xlfn.XLOOKUP($C94,AssetLocs!$A$1:$AAH$1,AssetLocs!$A$2:$AAH$2,"") &amp; ""</f>
        <v/>
      </c>
      <c r="E94" t="str">
        <f>_xlfn.XLOOKUP($C94,AssetLocs!$A$1:$AAH$1,AssetLocs!$B$2:$AAI$2,"") &amp; ""</f>
        <v/>
      </c>
      <c r="F94" s="7"/>
      <c r="G94" t="str">
        <f>_xlfn.XLOOKUP($C94,AssetLocs!$A$1:$AAH$1,AssetLocs!$A$3:$AAH$3,"") &amp; ""</f>
        <v/>
      </c>
      <c r="H94" t="str">
        <f>_xlfn.XLOOKUP($C94,AssetLocs!$A$1:$AAH$1,AssetLocs!$B$3:$AAI$3,"") &amp; ""</f>
        <v/>
      </c>
      <c r="I94" s="7"/>
      <c r="J94" t="str">
        <f>_xlfn.XLOOKUP($C94,AssetLocs!$A$1:$AAH$1,AssetLocs!$A$4:$AAH$4,"") &amp; ""</f>
        <v/>
      </c>
      <c r="K94" t="str">
        <f>_xlfn.XLOOKUP($C94,AssetLocs!$A$1:$AAH$1,AssetLocs!$B$4:$AAI$4,"") &amp; ""</f>
        <v/>
      </c>
      <c r="L94" s="7"/>
      <c r="M94" t="str">
        <f>_xlfn.XLOOKUP($C94,AssetLocs!$A$1:$AAH$1,AssetLocs!$A$5:$AAH$5,"") &amp; ""</f>
        <v/>
      </c>
      <c r="N94" t="str">
        <f>_xlfn.XLOOKUP($C94,AssetLocs!$A$1:$AAH$1,AssetLocs!$B$5:$AAI$5,"") &amp; ""</f>
        <v/>
      </c>
      <c r="O94" s="7"/>
      <c r="P94" t="str">
        <f>_xlfn.XLOOKUP($C94,AssetLocs!$A$1:$AAH$1,AssetLocs!$A$6:$AAH$6,"") &amp; ""</f>
        <v/>
      </c>
      <c r="Q94" t="str">
        <f>_xlfn.XLOOKUP($C94,AssetLocs!$A$1:$AAH$1,AssetLocs!$B$6:$AAI$6,"") &amp; ""</f>
        <v/>
      </c>
      <c r="R94" s="7"/>
      <c r="S94" t="str">
        <f>_xlfn.XLOOKUP($C94,AssetLocs!$A$1:$AAH$1,AssetLocs!$A$7:$AAH$7,"") &amp; ""</f>
        <v/>
      </c>
      <c r="T94" t="str">
        <f>_xlfn.XLOOKUP($C94,AssetLocs!$A$1:$AAH$1,AssetLocs!$B$7:$AAI$7,"") &amp; ""</f>
        <v/>
      </c>
      <c r="U94" s="7"/>
      <c r="V94" t="str">
        <f>_xlfn.XLOOKUP($C94,AssetLocs!$A$1:$AAH$1,AssetLocs!$A$8:$AAH$8,"") &amp; ""</f>
        <v/>
      </c>
      <c r="W94" t="str">
        <f>_xlfn.XLOOKUP($C94,AssetLocs!$A$1:$AAH$1,AssetLocs!$B$8:$AAI$8,"") &amp; ""</f>
        <v/>
      </c>
      <c r="X94" s="7"/>
      <c r="Y94" s="11" t="str">
        <f>_xlfn.XLOOKUP($C94,AssetLocs!$A$1:$AAH$1,AssetLocs!$A$9:$AAH$9,"") &amp; ""</f>
        <v/>
      </c>
      <c r="Z94" s="11" t="str">
        <f>_xlfn.XLOOKUP($C94,AssetLocs!$A$1:$AAH$1,AssetLocs!$B$9:$AAI$9,"") &amp; ""</f>
        <v/>
      </c>
      <c r="AA94" s="7"/>
      <c r="AB94" s="11" t="str">
        <f>_xlfn.XLOOKUP($C94,AssetLocs!$A$1:$AAH$1,AssetLocs!$A$10:$AAH$10,"") &amp; ""</f>
        <v/>
      </c>
      <c r="AC94" s="11" t="str">
        <f>_xlfn.XLOOKUP($C94,AssetLocs!$A$1:$AAH$1,AssetLocs!$B$10:$AAI$10,"") &amp; ""</f>
        <v/>
      </c>
      <c r="AD94" s="7"/>
    </row>
    <row r="95" spans="1:30" x14ac:dyDescent="0.2">
      <c r="A95" t="str" cm="1">
        <f t="array" aca="1" ref="A95" ca="1">INDEX(INDIRECT(VLOOKUP($C$4, RoomLocs!$A$2:$B$35,2,)),ROW()-4,COLUMN()) &amp; ""</f>
        <v/>
      </c>
      <c r="B95" t="str" cm="1">
        <f t="array" aca="1" ref="B95" ca="1">INDEX(INDIRECT(VLOOKUP($C$4, RoomLocs!$A$2:$B$35,2,)),ROW()-4,COLUMN()) &amp; ""</f>
        <v/>
      </c>
      <c r="C95" s="7"/>
      <c r="D95" t="str">
        <f>_xlfn.XLOOKUP($C95,AssetLocs!$A$1:$AAH$1,AssetLocs!$A$2:$AAH$2,"") &amp; ""</f>
        <v/>
      </c>
      <c r="E95" t="str">
        <f>_xlfn.XLOOKUP($C95,AssetLocs!$A$1:$AAH$1,AssetLocs!$B$2:$AAI$2,"") &amp; ""</f>
        <v/>
      </c>
      <c r="F95" s="7"/>
      <c r="G95" t="str">
        <f>_xlfn.XLOOKUP($C95,AssetLocs!$A$1:$AAH$1,AssetLocs!$A$3:$AAH$3,"") &amp; ""</f>
        <v/>
      </c>
      <c r="H95" t="str">
        <f>_xlfn.XLOOKUP($C95,AssetLocs!$A$1:$AAH$1,AssetLocs!$B$3:$AAI$3,"") &amp; ""</f>
        <v/>
      </c>
      <c r="I95" s="7"/>
      <c r="J95" t="str">
        <f>_xlfn.XLOOKUP($C95,AssetLocs!$A$1:$AAH$1,AssetLocs!$A$4:$AAH$4,"") &amp; ""</f>
        <v/>
      </c>
      <c r="K95" t="str">
        <f>_xlfn.XLOOKUP($C95,AssetLocs!$A$1:$AAH$1,AssetLocs!$B$4:$AAI$4,"") &amp; ""</f>
        <v/>
      </c>
      <c r="L95" s="7"/>
      <c r="M95" t="str">
        <f>_xlfn.XLOOKUP($C95,AssetLocs!$A$1:$AAH$1,AssetLocs!$A$5:$AAH$5,"") &amp; ""</f>
        <v/>
      </c>
      <c r="N95" t="str">
        <f>_xlfn.XLOOKUP($C95,AssetLocs!$A$1:$AAH$1,AssetLocs!$B$5:$AAI$5,"") &amp; ""</f>
        <v/>
      </c>
      <c r="O95" s="7"/>
      <c r="P95" t="str">
        <f>_xlfn.XLOOKUP($C95,AssetLocs!$A$1:$AAH$1,AssetLocs!$A$6:$AAH$6,"") &amp; ""</f>
        <v/>
      </c>
      <c r="Q95" t="str">
        <f>_xlfn.XLOOKUP($C95,AssetLocs!$A$1:$AAH$1,AssetLocs!$B$6:$AAI$6,"") &amp; ""</f>
        <v/>
      </c>
      <c r="R95" s="7"/>
      <c r="S95" t="str">
        <f>_xlfn.XLOOKUP($C95,AssetLocs!$A$1:$AAH$1,AssetLocs!$A$7:$AAH$7,"") &amp; ""</f>
        <v/>
      </c>
      <c r="T95" t="str">
        <f>_xlfn.XLOOKUP($C95,AssetLocs!$A$1:$AAH$1,AssetLocs!$B$7:$AAI$7,"") &amp; ""</f>
        <v/>
      </c>
      <c r="U95" s="7"/>
      <c r="V95" t="str">
        <f>_xlfn.XLOOKUP($C95,AssetLocs!$A$1:$AAH$1,AssetLocs!$A$8:$AAH$8,"") &amp; ""</f>
        <v/>
      </c>
      <c r="W95" t="str">
        <f>_xlfn.XLOOKUP($C95,AssetLocs!$A$1:$AAH$1,AssetLocs!$B$8:$AAI$8,"") &amp; ""</f>
        <v/>
      </c>
      <c r="X95" s="7"/>
      <c r="Y95" s="11" t="str">
        <f>_xlfn.XLOOKUP($C95,AssetLocs!$A$1:$AAH$1,AssetLocs!$A$9:$AAH$9,"") &amp; ""</f>
        <v/>
      </c>
      <c r="Z95" s="11" t="str">
        <f>_xlfn.XLOOKUP($C95,AssetLocs!$A$1:$AAH$1,AssetLocs!$B$9:$AAI$9,"") &amp; ""</f>
        <v/>
      </c>
      <c r="AA95" s="7"/>
      <c r="AB95" s="11" t="str">
        <f>_xlfn.XLOOKUP($C95,AssetLocs!$A$1:$AAH$1,AssetLocs!$A$10:$AAH$10,"") &amp; ""</f>
        <v/>
      </c>
      <c r="AC95" s="11" t="str">
        <f>_xlfn.XLOOKUP($C95,AssetLocs!$A$1:$AAH$1,AssetLocs!$B$10:$AAI$10,"") &amp; ""</f>
        <v/>
      </c>
      <c r="AD95" s="7"/>
    </row>
  </sheetData>
  <sheetProtection algorithmName="SHA-512" hashValue="OSjVm22/tdx/0+VCjbxa8/PVIqwqy5uCF9LY4dXsaIBWQ2VnPSHwvKcJyjn0IOURIJyHbigaZy+huqqITpPanA==" saltValue="HzXHIrQFdcjMZS+CglLs1A==" spinCount="100000" sheet="1" objects="1" scenarios="1"/>
  <protectedRanges>
    <protectedRange sqref="I4:I95 L4:L95 O4:O95 R5:R95 U5:U95 X5:X95 AA5:AA95 AD5:AD95 C4:C95 F4:F95" name="EditRange"/>
  </protectedRanges>
  <dataValidations count="6">
    <dataValidation showInputMessage="1" showErrorMessage="1" sqref="J5:K95 G5:H95 D5:E95 Y5:Z95 Q5:Q95 P6:P95 M5:N95 S5:T95 V5:W95 AB5:AC95" xr:uid="{3509C3F7-8B53-402E-BFA8-9FBA6259D8B3}"/>
    <dataValidation type="list" allowBlank="1" showInputMessage="1" showErrorMessage="1" sqref="F5:F95" xr:uid="{78B7204C-DFE8-428A-AEB3-A7BE5F7E57FD}">
      <formula1>INDIRECT($D5)</formula1>
    </dataValidation>
    <dataValidation type="list" showInputMessage="1" showErrorMessage="1" sqref="C5:C95" xr:uid="{5BB298AB-B2D2-4E28-B1E8-5EC2239AFD36}">
      <formula1>INDIRECT(A5)</formula1>
    </dataValidation>
    <dataValidation type="list" allowBlank="1" showInputMessage="1" showErrorMessage="1" sqref="I5:I95" xr:uid="{9DD296E7-C5A9-49AE-AEE0-16B19F522CED}">
      <formula1>INDIRECT($G5)</formula1>
    </dataValidation>
    <dataValidation type="list" allowBlank="1" showInputMessage="1" showErrorMessage="1" sqref="L5:L95" xr:uid="{0DFD5250-23E0-415B-B5CA-CCF924ED9530}">
      <formula1>INDIRECT($J5)</formula1>
    </dataValidation>
    <dataValidation type="list" allowBlank="1" showInputMessage="1" showErrorMessage="1" sqref="O5:O95 R5:R95 U5:U95 AA5:AA95 X5:X95 AD5:AD95" xr:uid="{F486F6F3-2668-4073-8D55-A3C794820D2C}">
      <formula1>INDIRECT($M5)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ExportRangetoFile">
                <anchor moveWithCells="1" sizeWithCells="1">
                  <from>
                    <xdr:col>6</xdr:col>
                    <xdr:colOff>63500</xdr:colOff>
                    <xdr:row>0</xdr:row>
                    <xdr:rowOff>63500</xdr:rowOff>
                  </from>
                  <to>
                    <xdr:col>9</xdr:col>
                    <xdr:colOff>215900</xdr:colOff>
                    <xdr:row>2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1049A0-85EC-4971-9B8E-2BF6DA06D534}">
          <x14:formula1>
            <xm:f>RoomLocs!$A$2:$A$31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9E05-424E-45F7-914D-04821696632D}">
  <sheetPr codeName="Sheet2"/>
  <dimension ref="A1:R75"/>
  <sheetViews>
    <sheetView topLeftCell="C25" workbookViewId="0">
      <selection activeCell="S54" sqref="S54"/>
    </sheetView>
  </sheetViews>
  <sheetFormatPr baseColWidth="10" defaultColWidth="8.83203125" defaultRowHeight="15" x14ac:dyDescent="0.2"/>
  <cols>
    <col min="1" max="1" width="27.5" bestFit="1" customWidth="1"/>
    <col min="2" max="2" width="27.33203125" bestFit="1" customWidth="1"/>
    <col min="3" max="3" width="20.33203125" bestFit="1" customWidth="1"/>
    <col min="4" max="4" width="20.33203125" customWidth="1"/>
    <col min="5" max="5" width="20.5" customWidth="1"/>
    <col min="6" max="6" width="4.1640625" customWidth="1"/>
    <col min="7" max="7" width="20.5" bestFit="1" customWidth="1"/>
    <col min="8" max="8" width="2" bestFit="1" customWidth="1"/>
    <col min="9" max="9" width="21.5" bestFit="1" customWidth="1"/>
    <col min="10" max="10" width="3" bestFit="1" customWidth="1"/>
    <col min="11" max="11" width="21" bestFit="1" customWidth="1"/>
    <col min="12" max="12" width="2" bestFit="1" customWidth="1"/>
    <col min="13" max="13" width="21.83203125" bestFit="1" customWidth="1"/>
    <col min="14" max="14" width="2.5" customWidth="1"/>
    <col min="15" max="15" width="21.6640625" bestFit="1" customWidth="1"/>
    <col min="16" max="16" width="3" customWidth="1"/>
    <col min="17" max="17" width="21" customWidth="1"/>
    <col min="18" max="18" width="3.5" customWidth="1"/>
  </cols>
  <sheetData>
    <row r="1" spans="1:18" s="1" customFormat="1" ht="16" thickBot="1" x14ac:dyDescent="0.25">
      <c r="A1" s="1" t="s">
        <v>5</v>
      </c>
      <c r="C1" s="1" t="s">
        <v>6</v>
      </c>
      <c r="D1" s="1" t="s">
        <v>6</v>
      </c>
      <c r="E1" s="1" t="s">
        <v>7</v>
      </c>
      <c r="F1" s="1" t="s">
        <v>11</v>
      </c>
    </row>
    <row r="2" spans="1:18" x14ac:dyDescent="0.2">
      <c r="E2" s="2" t="s">
        <v>3</v>
      </c>
      <c r="G2" t="s">
        <v>17</v>
      </c>
      <c r="I2" t="s">
        <v>62</v>
      </c>
      <c r="K2" t="s">
        <v>72</v>
      </c>
      <c r="M2" t="s">
        <v>86</v>
      </c>
      <c r="O2" t="s">
        <v>127</v>
      </c>
      <c r="Q2" t="s">
        <v>146</v>
      </c>
    </row>
    <row r="3" spans="1:18" x14ac:dyDescent="0.2">
      <c r="E3" t="s">
        <v>8</v>
      </c>
      <c r="F3">
        <v>1</v>
      </c>
      <c r="G3" t="s">
        <v>8</v>
      </c>
      <c r="H3">
        <v>1</v>
      </c>
      <c r="I3" t="s">
        <v>8</v>
      </c>
      <c r="J3">
        <v>1</v>
      </c>
      <c r="K3" t="s">
        <v>74</v>
      </c>
      <c r="L3">
        <v>1</v>
      </c>
      <c r="O3" t="s">
        <v>112</v>
      </c>
      <c r="P3">
        <v>1</v>
      </c>
      <c r="Q3" t="s">
        <v>8</v>
      </c>
      <c r="R3">
        <v>1</v>
      </c>
    </row>
    <row r="4" spans="1:18" x14ac:dyDescent="0.2">
      <c r="A4" t="s">
        <v>149</v>
      </c>
      <c r="B4" t="s">
        <v>147</v>
      </c>
      <c r="E4" t="s">
        <v>9</v>
      </c>
      <c r="F4">
        <v>1</v>
      </c>
      <c r="G4" t="s">
        <v>9</v>
      </c>
      <c r="H4">
        <v>1</v>
      </c>
      <c r="I4" t="s">
        <v>9</v>
      </c>
      <c r="J4">
        <v>1</v>
      </c>
      <c r="K4" t="s">
        <v>81</v>
      </c>
      <c r="L4">
        <v>1</v>
      </c>
      <c r="O4" t="s">
        <v>40</v>
      </c>
      <c r="P4">
        <v>1</v>
      </c>
      <c r="Q4" t="s">
        <v>9</v>
      </c>
      <c r="R4">
        <v>1</v>
      </c>
    </row>
    <row r="5" spans="1:18" x14ac:dyDescent="0.2">
      <c r="A5" t="s">
        <v>150</v>
      </c>
      <c r="B5" t="s">
        <v>147</v>
      </c>
      <c r="E5" t="s">
        <v>56</v>
      </c>
      <c r="F5">
        <v>1</v>
      </c>
      <c r="G5" t="s">
        <v>56</v>
      </c>
      <c r="H5">
        <v>1</v>
      </c>
      <c r="I5" t="s">
        <v>56</v>
      </c>
      <c r="J5">
        <v>1</v>
      </c>
      <c r="O5" t="s">
        <v>74</v>
      </c>
      <c r="P5">
        <v>1</v>
      </c>
      <c r="Q5" t="s">
        <v>56</v>
      </c>
      <c r="R5">
        <v>1</v>
      </c>
    </row>
    <row r="6" spans="1:18" x14ac:dyDescent="0.2">
      <c r="A6" t="s">
        <v>152</v>
      </c>
      <c r="B6" t="s">
        <v>147</v>
      </c>
      <c r="E6" t="s">
        <v>57</v>
      </c>
      <c r="F6">
        <v>1</v>
      </c>
      <c r="G6" t="s">
        <v>57</v>
      </c>
      <c r="H6">
        <v>1</v>
      </c>
      <c r="I6" t="s">
        <v>113</v>
      </c>
      <c r="J6">
        <v>1</v>
      </c>
      <c r="O6" t="s">
        <v>129</v>
      </c>
      <c r="P6">
        <v>1</v>
      </c>
      <c r="Q6" t="s">
        <v>113</v>
      </c>
      <c r="R6">
        <v>1</v>
      </c>
    </row>
    <row r="7" spans="1:18" x14ac:dyDescent="0.2">
      <c r="A7" t="s">
        <v>17</v>
      </c>
      <c r="B7" t="s">
        <v>18</v>
      </c>
      <c r="E7" t="s">
        <v>58</v>
      </c>
      <c r="F7">
        <v>1</v>
      </c>
      <c r="G7" t="s">
        <v>58</v>
      </c>
      <c r="H7">
        <v>1</v>
      </c>
      <c r="I7" t="s">
        <v>57</v>
      </c>
      <c r="J7">
        <v>1</v>
      </c>
      <c r="O7" t="s">
        <v>129</v>
      </c>
      <c r="P7">
        <v>2</v>
      </c>
      <c r="Q7" t="s">
        <v>57</v>
      </c>
      <c r="R7">
        <v>1</v>
      </c>
    </row>
    <row r="8" spans="1:18" x14ac:dyDescent="0.2">
      <c r="A8" t="s">
        <v>2</v>
      </c>
      <c r="B8" t="s">
        <v>12</v>
      </c>
      <c r="E8" t="s">
        <v>40</v>
      </c>
      <c r="F8">
        <v>1</v>
      </c>
      <c r="G8" t="s">
        <v>40</v>
      </c>
      <c r="H8">
        <v>1</v>
      </c>
      <c r="I8" t="s">
        <v>58</v>
      </c>
      <c r="J8">
        <v>1</v>
      </c>
      <c r="O8" t="s">
        <v>129</v>
      </c>
      <c r="P8">
        <v>3</v>
      </c>
      <c r="Q8" t="s">
        <v>58</v>
      </c>
      <c r="R8">
        <v>1</v>
      </c>
    </row>
    <row r="9" spans="1:18" x14ac:dyDescent="0.2">
      <c r="A9" t="s">
        <v>4</v>
      </c>
      <c r="B9" t="s">
        <v>14</v>
      </c>
      <c r="E9" t="s">
        <v>10</v>
      </c>
      <c r="F9">
        <v>1</v>
      </c>
      <c r="G9" t="s">
        <v>10</v>
      </c>
      <c r="H9">
        <v>1</v>
      </c>
      <c r="I9" t="s">
        <v>74</v>
      </c>
      <c r="J9">
        <v>1</v>
      </c>
      <c r="O9" t="s">
        <v>129</v>
      </c>
      <c r="P9">
        <v>4</v>
      </c>
      <c r="Q9" t="s">
        <v>74</v>
      </c>
      <c r="R9">
        <v>1</v>
      </c>
    </row>
    <row r="10" spans="1:18" x14ac:dyDescent="0.2">
      <c r="A10" t="s">
        <v>3</v>
      </c>
      <c r="B10" t="s">
        <v>13</v>
      </c>
      <c r="E10" t="s">
        <v>10</v>
      </c>
      <c r="F10">
        <v>2</v>
      </c>
      <c r="G10" t="s">
        <v>10</v>
      </c>
      <c r="H10">
        <v>2</v>
      </c>
      <c r="I10" t="s">
        <v>40</v>
      </c>
      <c r="J10">
        <v>1</v>
      </c>
      <c r="O10" t="s">
        <v>9</v>
      </c>
      <c r="P10">
        <v>1</v>
      </c>
      <c r="Q10" t="s">
        <v>40</v>
      </c>
      <c r="R10">
        <v>1</v>
      </c>
    </row>
    <row r="11" spans="1:18" x14ac:dyDescent="0.2">
      <c r="A11" t="s">
        <v>72</v>
      </c>
      <c r="B11" t="s">
        <v>73</v>
      </c>
      <c r="E11" t="s">
        <v>8</v>
      </c>
      <c r="F11">
        <v>2</v>
      </c>
      <c r="G11" t="s">
        <v>8</v>
      </c>
      <c r="H11">
        <v>2</v>
      </c>
      <c r="I11" t="s">
        <v>112</v>
      </c>
      <c r="J11">
        <v>1</v>
      </c>
      <c r="O11" t="s">
        <v>9</v>
      </c>
      <c r="P11">
        <v>2</v>
      </c>
      <c r="Q11" t="s">
        <v>112</v>
      </c>
      <c r="R11">
        <v>1</v>
      </c>
    </row>
    <row r="12" spans="1:18" x14ac:dyDescent="0.2">
      <c r="A12" t="s">
        <v>1</v>
      </c>
      <c r="B12" t="s">
        <v>15</v>
      </c>
      <c r="E12" t="s">
        <v>9</v>
      </c>
      <c r="F12">
        <v>2</v>
      </c>
      <c r="G12" t="s">
        <v>9</v>
      </c>
      <c r="H12">
        <v>2</v>
      </c>
      <c r="I12" t="s">
        <v>10</v>
      </c>
      <c r="J12">
        <v>1</v>
      </c>
      <c r="O12" t="s">
        <v>9</v>
      </c>
      <c r="P12">
        <v>3</v>
      </c>
      <c r="Q12" t="s">
        <v>96</v>
      </c>
      <c r="R12">
        <v>1</v>
      </c>
    </row>
    <row r="13" spans="1:18" x14ac:dyDescent="0.2">
      <c r="A13" t="s">
        <v>127</v>
      </c>
      <c r="B13" t="s">
        <v>128</v>
      </c>
      <c r="E13" t="s">
        <v>56</v>
      </c>
      <c r="F13">
        <v>2</v>
      </c>
      <c r="G13" t="s">
        <v>56</v>
      </c>
      <c r="H13">
        <v>2</v>
      </c>
      <c r="I13" t="s">
        <v>10</v>
      </c>
      <c r="J13">
        <v>2</v>
      </c>
      <c r="O13" t="s">
        <v>9</v>
      </c>
      <c r="P13">
        <v>4</v>
      </c>
      <c r="Q13" t="s">
        <v>8</v>
      </c>
      <c r="R13">
        <v>2</v>
      </c>
    </row>
    <row r="14" spans="1:18" x14ac:dyDescent="0.2">
      <c r="A14" t="s">
        <v>62</v>
      </c>
      <c r="B14" t="s">
        <v>61</v>
      </c>
      <c r="E14" t="s">
        <v>57</v>
      </c>
      <c r="F14">
        <v>2</v>
      </c>
      <c r="G14" t="s">
        <v>57</v>
      </c>
      <c r="H14">
        <v>2</v>
      </c>
      <c r="I14" t="s">
        <v>8</v>
      </c>
      <c r="J14">
        <v>2</v>
      </c>
      <c r="Q14" t="s">
        <v>9</v>
      </c>
      <c r="R14">
        <v>2</v>
      </c>
    </row>
    <row r="15" spans="1:18" x14ac:dyDescent="0.2">
      <c r="A15" t="s">
        <v>86</v>
      </c>
      <c r="B15" t="s">
        <v>87</v>
      </c>
      <c r="E15" t="s">
        <v>58</v>
      </c>
      <c r="F15">
        <v>2</v>
      </c>
      <c r="G15" t="s">
        <v>58</v>
      </c>
      <c r="H15">
        <v>2</v>
      </c>
      <c r="I15" t="s">
        <v>9</v>
      </c>
      <c r="J15">
        <v>2</v>
      </c>
      <c r="Q15" t="s">
        <v>56</v>
      </c>
      <c r="R15">
        <v>2</v>
      </c>
    </row>
    <row r="16" spans="1:18" x14ac:dyDescent="0.2">
      <c r="E16" t="s">
        <v>40</v>
      </c>
      <c r="F16">
        <v>2</v>
      </c>
      <c r="G16" t="s">
        <v>40</v>
      </c>
      <c r="H16">
        <v>2</v>
      </c>
      <c r="I16" t="s">
        <v>56</v>
      </c>
      <c r="J16">
        <v>2</v>
      </c>
      <c r="Q16" t="s">
        <v>113</v>
      </c>
      <c r="R16">
        <v>2</v>
      </c>
    </row>
    <row r="17" spans="5:18" x14ac:dyDescent="0.2">
      <c r="E17" t="s">
        <v>10</v>
      </c>
      <c r="F17">
        <v>3</v>
      </c>
      <c r="G17" t="s">
        <v>10</v>
      </c>
      <c r="H17">
        <v>3</v>
      </c>
      <c r="I17" t="s">
        <v>113</v>
      </c>
      <c r="J17">
        <v>2</v>
      </c>
      <c r="Q17" t="s">
        <v>57</v>
      </c>
      <c r="R17">
        <v>2</v>
      </c>
    </row>
    <row r="18" spans="5:18" x14ac:dyDescent="0.2">
      <c r="E18" t="s">
        <v>10</v>
      </c>
      <c r="F18">
        <v>4</v>
      </c>
      <c r="G18" t="s">
        <v>10</v>
      </c>
      <c r="H18">
        <v>4</v>
      </c>
      <c r="I18" t="s">
        <v>57</v>
      </c>
      <c r="J18">
        <v>2</v>
      </c>
      <c r="Q18" t="s">
        <v>58</v>
      </c>
      <c r="R18">
        <v>2</v>
      </c>
    </row>
    <row r="19" spans="5:18" x14ac:dyDescent="0.2">
      <c r="E19" t="s">
        <v>8</v>
      </c>
      <c r="F19">
        <v>3</v>
      </c>
      <c r="G19" t="s">
        <v>8</v>
      </c>
      <c r="H19">
        <v>3</v>
      </c>
      <c r="I19" t="s">
        <v>58</v>
      </c>
      <c r="J19">
        <v>2</v>
      </c>
      <c r="Q19" t="s">
        <v>74</v>
      </c>
      <c r="R19">
        <v>2</v>
      </c>
    </row>
    <row r="20" spans="5:18" x14ac:dyDescent="0.2">
      <c r="E20" t="s">
        <v>9</v>
      </c>
      <c r="F20">
        <v>3</v>
      </c>
      <c r="G20" t="s">
        <v>9</v>
      </c>
      <c r="H20">
        <v>3</v>
      </c>
      <c r="I20" t="s">
        <v>74</v>
      </c>
      <c r="J20">
        <v>2</v>
      </c>
      <c r="Q20" t="s">
        <v>40</v>
      </c>
      <c r="R20">
        <v>2</v>
      </c>
    </row>
    <row r="21" spans="5:18" x14ac:dyDescent="0.2">
      <c r="G21" t="s">
        <v>56</v>
      </c>
      <c r="H21">
        <v>3</v>
      </c>
      <c r="I21" t="s">
        <v>40</v>
      </c>
      <c r="J21">
        <v>2</v>
      </c>
      <c r="Q21" t="s">
        <v>112</v>
      </c>
      <c r="R21">
        <v>2</v>
      </c>
    </row>
    <row r="22" spans="5:18" x14ac:dyDescent="0.2">
      <c r="G22" t="s">
        <v>57</v>
      </c>
      <c r="H22">
        <v>3</v>
      </c>
      <c r="I22" t="s">
        <v>112</v>
      </c>
      <c r="J22">
        <v>2</v>
      </c>
      <c r="Q22" t="s">
        <v>96</v>
      </c>
      <c r="R22">
        <v>2</v>
      </c>
    </row>
    <row r="23" spans="5:18" x14ac:dyDescent="0.2">
      <c r="G23" t="s">
        <v>58</v>
      </c>
      <c r="H23">
        <v>3</v>
      </c>
      <c r="I23" t="s">
        <v>10</v>
      </c>
      <c r="J23">
        <v>3</v>
      </c>
      <c r="Q23" t="s">
        <v>8</v>
      </c>
      <c r="R23">
        <v>3</v>
      </c>
    </row>
    <row r="24" spans="5:18" x14ac:dyDescent="0.2">
      <c r="G24" t="s">
        <v>40</v>
      </c>
      <c r="H24">
        <v>3</v>
      </c>
      <c r="I24" t="s">
        <v>10</v>
      </c>
      <c r="J24">
        <v>4</v>
      </c>
      <c r="Q24" t="s">
        <v>9</v>
      </c>
      <c r="R24">
        <v>3</v>
      </c>
    </row>
    <row r="25" spans="5:18" x14ac:dyDescent="0.2">
      <c r="G25" t="s">
        <v>10</v>
      </c>
      <c r="H25">
        <v>5</v>
      </c>
      <c r="I25" t="s">
        <v>8</v>
      </c>
      <c r="J25">
        <v>3</v>
      </c>
      <c r="Q25" t="s">
        <v>56</v>
      </c>
      <c r="R25">
        <v>3</v>
      </c>
    </row>
    <row r="26" spans="5:18" x14ac:dyDescent="0.2">
      <c r="G26" t="s">
        <v>10</v>
      </c>
      <c r="H26">
        <v>6</v>
      </c>
      <c r="I26" t="s">
        <v>9</v>
      </c>
      <c r="J26">
        <v>3</v>
      </c>
      <c r="Q26" t="s">
        <v>113</v>
      </c>
      <c r="R26">
        <v>3</v>
      </c>
    </row>
    <row r="27" spans="5:18" x14ac:dyDescent="0.2">
      <c r="G27" t="s">
        <v>8</v>
      </c>
      <c r="H27">
        <v>4</v>
      </c>
      <c r="I27" t="s">
        <v>56</v>
      </c>
      <c r="J27">
        <v>3</v>
      </c>
      <c r="Q27" t="s">
        <v>57</v>
      </c>
      <c r="R27">
        <v>3</v>
      </c>
    </row>
    <row r="28" spans="5:18" x14ac:dyDescent="0.2">
      <c r="G28" t="s">
        <v>9</v>
      </c>
      <c r="H28">
        <v>4</v>
      </c>
      <c r="I28" t="s">
        <v>113</v>
      </c>
      <c r="J28">
        <v>3</v>
      </c>
      <c r="Q28" t="s">
        <v>58</v>
      </c>
      <c r="R28">
        <v>3</v>
      </c>
    </row>
    <row r="29" spans="5:18" x14ac:dyDescent="0.2">
      <c r="G29" t="s">
        <v>56</v>
      </c>
      <c r="H29">
        <v>4</v>
      </c>
      <c r="I29" t="s">
        <v>57</v>
      </c>
      <c r="J29">
        <v>3</v>
      </c>
      <c r="Q29" t="s">
        <v>74</v>
      </c>
      <c r="R29">
        <v>3</v>
      </c>
    </row>
    <row r="30" spans="5:18" x14ac:dyDescent="0.2">
      <c r="G30" t="s">
        <v>57</v>
      </c>
      <c r="H30">
        <v>4</v>
      </c>
      <c r="I30" t="s">
        <v>58</v>
      </c>
      <c r="J30">
        <v>3</v>
      </c>
      <c r="Q30" t="s">
        <v>40</v>
      </c>
      <c r="R30">
        <v>3</v>
      </c>
    </row>
    <row r="31" spans="5:18" x14ac:dyDescent="0.2">
      <c r="G31" t="s">
        <v>58</v>
      </c>
      <c r="H31">
        <v>4</v>
      </c>
      <c r="I31" t="s">
        <v>74</v>
      </c>
      <c r="J31">
        <v>3</v>
      </c>
      <c r="Q31" t="s">
        <v>112</v>
      </c>
      <c r="R31">
        <v>3</v>
      </c>
    </row>
    <row r="32" spans="5:18" x14ac:dyDescent="0.2">
      <c r="G32" t="s">
        <v>40</v>
      </c>
      <c r="H32">
        <v>4</v>
      </c>
      <c r="I32" t="s">
        <v>40</v>
      </c>
      <c r="J32">
        <v>3</v>
      </c>
      <c r="Q32" t="s">
        <v>96</v>
      </c>
      <c r="R32">
        <v>3</v>
      </c>
    </row>
    <row r="33" spans="7:18" x14ac:dyDescent="0.2">
      <c r="G33" t="s">
        <v>10</v>
      </c>
      <c r="H33">
        <v>7</v>
      </c>
      <c r="I33" t="s">
        <v>112</v>
      </c>
      <c r="J33">
        <v>3</v>
      </c>
      <c r="Q33" t="s">
        <v>8</v>
      </c>
      <c r="R33">
        <v>4</v>
      </c>
    </row>
    <row r="34" spans="7:18" x14ac:dyDescent="0.2">
      <c r="G34" t="s">
        <v>10</v>
      </c>
      <c r="H34">
        <v>8</v>
      </c>
      <c r="I34" t="s">
        <v>10</v>
      </c>
      <c r="J34">
        <v>5</v>
      </c>
      <c r="Q34" t="s">
        <v>9</v>
      </c>
      <c r="R34">
        <v>4</v>
      </c>
    </row>
    <row r="35" spans="7:18" x14ac:dyDescent="0.2">
      <c r="I35" t="s">
        <v>10</v>
      </c>
      <c r="J35">
        <v>6</v>
      </c>
      <c r="Q35" t="s">
        <v>56</v>
      </c>
      <c r="R35">
        <v>4</v>
      </c>
    </row>
    <row r="36" spans="7:18" x14ac:dyDescent="0.2">
      <c r="I36" t="s">
        <v>8</v>
      </c>
      <c r="J36">
        <v>4</v>
      </c>
      <c r="Q36" t="s">
        <v>113</v>
      </c>
      <c r="R36">
        <v>4</v>
      </c>
    </row>
    <row r="37" spans="7:18" x14ac:dyDescent="0.2">
      <c r="I37" t="s">
        <v>9</v>
      </c>
      <c r="J37">
        <v>4</v>
      </c>
      <c r="Q37" t="s">
        <v>57</v>
      </c>
      <c r="R37">
        <v>4</v>
      </c>
    </row>
    <row r="38" spans="7:18" x14ac:dyDescent="0.2">
      <c r="I38" t="s">
        <v>56</v>
      </c>
      <c r="J38">
        <v>4</v>
      </c>
      <c r="Q38" t="s">
        <v>58</v>
      </c>
      <c r="R38">
        <v>4</v>
      </c>
    </row>
    <row r="39" spans="7:18" x14ac:dyDescent="0.2">
      <c r="I39" t="s">
        <v>113</v>
      </c>
      <c r="J39">
        <v>4</v>
      </c>
      <c r="Q39" t="s">
        <v>74</v>
      </c>
      <c r="R39">
        <v>4</v>
      </c>
    </row>
    <row r="40" spans="7:18" x14ac:dyDescent="0.2">
      <c r="I40" t="s">
        <v>57</v>
      </c>
      <c r="J40">
        <v>4</v>
      </c>
      <c r="Q40" t="s">
        <v>40</v>
      </c>
      <c r="R40">
        <v>4</v>
      </c>
    </row>
    <row r="41" spans="7:18" x14ac:dyDescent="0.2">
      <c r="I41" t="s">
        <v>58</v>
      </c>
      <c r="J41">
        <v>4</v>
      </c>
      <c r="Q41" t="s">
        <v>112</v>
      </c>
      <c r="R41">
        <v>4</v>
      </c>
    </row>
    <row r="42" spans="7:18" x14ac:dyDescent="0.2">
      <c r="I42" t="s">
        <v>74</v>
      </c>
      <c r="J42">
        <v>4</v>
      </c>
      <c r="Q42" t="s">
        <v>96</v>
      </c>
      <c r="R42">
        <v>4</v>
      </c>
    </row>
    <row r="43" spans="7:18" x14ac:dyDescent="0.2">
      <c r="I43" t="s">
        <v>40</v>
      </c>
      <c r="J43">
        <v>4</v>
      </c>
      <c r="Q43" t="s">
        <v>8</v>
      </c>
      <c r="R43">
        <v>5</v>
      </c>
    </row>
    <row r="44" spans="7:18" x14ac:dyDescent="0.2">
      <c r="I44" t="s">
        <v>112</v>
      </c>
      <c r="J44">
        <v>4</v>
      </c>
      <c r="Q44" t="s">
        <v>9</v>
      </c>
      <c r="R44">
        <v>5</v>
      </c>
    </row>
    <row r="45" spans="7:18" x14ac:dyDescent="0.2">
      <c r="I45" t="s">
        <v>10</v>
      </c>
      <c r="J45">
        <v>7</v>
      </c>
      <c r="Q45" t="s">
        <v>56</v>
      </c>
      <c r="R45">
        <v>5</v>
      </c>
    </row>
    <row r="46" spans="7:18" x14ac:dyDescent="0.2">
      <c r="I46" t="s">
        <v>10</v>
      </c>
      <c r="J46">
        <v>8</v>
      </c>
      <c r="Q46" t="s">
        <v>113</v>
      </c>
      <c r="R46">
        <v>5</v>
      </c>
    </row>
    <row r="47" spans="7:18" x14ac:dyDescent="0.2">
      <c r="I47" t="s">
        <v>8</v>
      </c>
      <c r="J47">
        <v>5</v>
      </c>
      <c r="Q47" t="s">
        <v>57</v>
      </c>
      <c r="R47">
        <v>5</v>
      </c>
    </row>
    <row r="48" spans="7:18" x14ac:dyDescent="0.2">
      <c r="I48" t="s">
        <v>9</v>
      </c>
      <c r="J48">
        <v>5</v>
      </c>
      <c r="Q48" t="s">
        <v>58</v>
      </c>
      <c r="R48">
        <v>5</v>
      </c>
    </row>
    <row r="49" spans="9:18" x14ac:dyDescent="0.2">
      <c r="I49" t="s">
        <v>56</v>
      </c>
      <c r="J49">
        <v>5</v>
      </c>
      <c r="Q49" t="s">
        <v>74</v>
      </c>
      <c r="R49">
        <v>5</v>
      </c>
    </row>
    <row r="50" spans="9:18" x14ac:dyDescent="0.2">
      <c r="I50" t="s">
        <v>113</v>
      </c>
      <c r="J50">
        <v>5</v>
      </c>
      <c r="Q50" t="s">
        <v>40</v>
      </c>
      <c r="R50">
        <v>5</v>
      </c>
    </row>
    <row r="51" spans="9:18" x14ac:dyDescent="0.2">
      <c r="I51" t="s">
        <v>57</v>
      </c>
      <c r="J51">
        <v>5</v>
      </c>
      <c r="Q51" t="s">
        <v>112</v>
      </c>
      <c r="R51">
        <v>5</v>
      </c>
    </row>
    <row r="52" spans="9:18" x14ac:dyDescent="0.2">
      <c r="I52" t="s">
        <v>58</v>
      </c>
      <c r="J52">
        <v>5</v>
      </c>
      <c r="Q52" t="s">
        <v>96</v>
      </c>
      <c r="R52">
        <v>5</v>
      </c>
    </row>
    <row r="53" spans="9:18" x14ac:dyDescent="0.2">
      <c r="I53" t="s">
        <v>74</v>
      </c>
      <c r="J53">
        <v>5</v>
      </c>
      <c r="Q53" t="s">
        <v>74</v>
      </c>
      <c r="R53">
        <v>6</v>
      </c>
    </row>
    <row r="54" spans="9:18" x14ac:dyDescent="0.2">
      <c r="I54" t="s">
        <v>40</v>
      </c>
      <c r="J54">
        <v>5</v>
      </c>
      <c r="Q54" t="s">
        <v>74</v>
      </c>
      <c r="R54">
        <v>7</v>
      </c>
    </row>
    <row r="55" spans="9:18" x14ac:dyDescent="0.2">
      <c r="I55" t="s">
        <v>112</v>
      </c>
      <c r="J55">
        <v>5</v>
      </c>
    </row>
    <row r="56" spans="9:18" x14ac:dyDescent="0.2">
      <c r="I56" t="s">
        <v>10</v>
      </c>
      <c r="J56">
        <v>9</v>
      </c>
    </row>
    <row r="57" spans="9:18" x14ac:dyDescent="0.2">
      <c r="I57" t="s">
        <v>10</v>
      </c>
      <c r="J57">
        <v>10</v>
      </c>
    </row>
    <row r="58" spans="9:18" x14ac:dyDescent="0.2">
      <c r="I58" t="s">
        <v>8</v>
      </c>
      <c r="J58">
        <v>6</v>
      </c>
    </row>
    <row r="59" spans="9:18" x14ac:dyDescent="0.2">
      <c r="I59" t="s">
        <v>9</v>
      </c>
      <c r="J59">
        <v>6</v>
      </c>
    </row>
    <row r="60" spans="9:18" x14ac:dyDescent="0.2">
      <c r="I60" t="s">
        <v>56</v>
      </c>
      <c r="J60">
        <v>6</v>
      </c>
    </row>
    <row r="61" spans="9:18" x14ac:dyDescent="0.2">
      <c r="I61" t="s">
        <v>113</v>
      </c>
      <c r="J61">
        <v>6</v>
      </c>
    </row>
    <row r="62" spans="9:18" x14ac:dyDescent="0.2">
      <c r="I62" t="s">
        <v>57</v>
      </c>
      <c r="J62">
        <v>6</v>
      </c>
    </row>
    <row r="63" spans="9:18" x14ac:dyDescent="0.2">
      <c r="I63" t="s">
        <v>58</v>
      </c>
      <c r="J63">
        <v>6</v>
      </c>
    </row>
    <row r="64" spans="9:18" x14ac:dyDescent="0.2">
      <c r="I64" t="s">
        <v>74</v>
      </c>
      <c r="J64">
        <v>6</v>
      </c>
    </row>
    <row r="65" spans="9:10" x14ac:dyDescent="0.2">
      <c r="I65" t="s">
        <v>40</v>
      </c>
      <c r="J65">
        <v>6</v>
      </c>
    </row>
    <row r="66" spans="9:10" x14ac:dyDescent="0.2">
      <c r="I66" t="s">
        <v>112</v>
      </c>
      <c r="J66">
        <v>6</v>
      </c>
    </row>
    <row r="67" spans="9:10" x14ac:dyDescent="0.2">
      <c r="I67" t="s">
        <v>10</v>
      </c>
      <c r="J67">
        <v>11</v>
      </c>
    </row>
    <row r="68" spans="9:10" x14ac:dyDescent="0.2">
      <c r="I68" t="s">
        <v>10</v>
      </c>
      <c r="J68">
        <v>12</v>
      </c>
    </row>
    <row r="69" spans="9:10" x14ac:dyDescent="0.2">
      <c r="I69" t="s">
        <v>81</v>
      </c>
      <c r="J69">
        <v>1</v>
      </c>
    </row>
    <row r="70" spans="9:10" x14ac:dyDescent="0.2">
      <c r="I70" t="s">
        <v>74</v>
      </c>
      <c r="J70">
        <v>7</v>
      </c>
    </row>
    <row r="71" spans="9:10" x14ac:dyDescent="0.2">
      <c r="I71" t="s">
        <v>40</v>
      </c>
      <c r="J71">
        <v>7</v>
      </c>
    </row>
    <row r="72" spans="9:10" x14ac:dyDescent="0.2">
      <c r="I72" t="s">
        <v>81</v>
      </c>
      <c r="J72">
        <v>2</v>
      </c>
    </row>
    <row r="73" spans="9:10" x14ac:dyDescent="0.2">
      <c r="I73" t="s">
        <v>74</v>
      </c>
      <c r="J73">
        <v>8</v>
      </c>
    </row>
    <row r="74" spans="9:10" x14ac:dyDescent="0.2">
      <c r="I74" t="s">
        <v>96</v>
      </c>
      <c r="J74">
        <v>1</v>
      </c>
    </row>
    <row r="75" spans="9:10" x14ac:dyDescent="0.2">
      <c r="I75" t="s">
        <v>96</v>
      </c>
      <c r="J75">
        <v>2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C16F4-B7A1-4AED-A280-75F83B4397E8}">
  <sheetPr codeName="Sheet3"/>
  <dimension ref="A1:M16"/>
  <sheetViews>
    <sheetView workbookViewId="0">
      <selection activeCell="C11" sqref="C11"/>
    </sheetView>
  </sheetViews>
  <sheetFormatPr baseColWidth="10" defaultColWidth="8.83203125" defaultRowHeight="15" x14ac:dyDescent="0.2"/>
  <cols>
    <col min="1" max="1" width="21.1640625" bestFit="1" customWidth="1"/>
    <col min="2" max="2" width="15.33203125" bestFit="1" customWidth="1"/>
    <col min="3" max="3" width="25.5" bestFit="1" customWidth="1"/>
    <col min="4" max="6" width="25.5" customWidth="1"/>
    <col min="7" max="7" width="11.5" bestFit="1" customWidth="1"/>
    <col min="8" max="8" width="16.83203125" bestFit="1" customWidth="1"/>
    <col min="9" max="9" width="15.5" bestFit="1" customWidth="1"/>
    <col min="10" max="10" width="13.33203125" bestFit="1" customWidth="1"/>
    <col min="11" max="11" width="14.83203125" bestFit="1" customWidth="1"/>
    <col min="12" max="12" width="12.5" bestFit="1" customWidth="1"/>
    <col min="13" max="13" width="13.1640625" bestFit="1" customWidth="1"/>
  </cols>
  <sheetData>
    <row r="1" spans="1:13" x14ac:dyDescent="0.2">
      <c r="A1" t="s">
        <v>8</v>
      </c>
      <c r="B1" t="s">
        <v>9</v>
      </c>
      <c r="C1" t="s">
        <v>56</v>
      </c>
      <c r="D1" t="s">
        <v>113</v>
      </c>
      <c r="E1" t="s">
        <v>57</v>
      </c>
      <c r="F1" t="s">
        <v>58</v>
      </c>
      <c r="G1" t="s">
        <v>40</v>
      </c>
      <c r="H1" t="s">
        <v>112</v>
      </c>
      <c r="I1" t="s">
        <v>10</v>
      </c>
      <c r="J1" t="s">
        <v>74</v>
      </c>
      <c r="K1" t="s">
        <v>81</v>
      </c>
      <c r="L1" t="s">
        <v>96</v>
      </c>
      <c r="M1" t="s">
        <v>129</v>
      </c>
    </row>
    <row r="3" spans="1:13" x14ac:dyDescent="0.2">
      <c r="A3" t="s">
        <v>49</v>
      </c>
      <c r="B3" t="s">
        <v>53</v>
      </c>
      <c r="C3" t="s">
        <v>41</v>
      </c>
      <c r="D3" t="s">
        <v>41</v>
      </c>
      <c r="E3" t="s">
        <v>47</v>
      </c>
      <c r="F3" t="s">
        <v>47</v>
      </c>
      <c r="G3" t="s">
        <v>151</v>
      </c>
      <c r="H3" t="s">
        <v>109</v>
      </c>
      <c r="I3" t="s">
        <v>38</v>
      </c>
      <c r="J3" t="s">
        <v>75</v>
      </c>
      <c r="K3" t="s">
        <v>82</v>
      </c>
      <c r="L3" t="s">
        <v>97</v>
      </c>
      <c r="M3" t="s">
        <v>144</v>
      </c>
    </row>
    <row r="4" spans="1:13" x14ac:dyDescent="0.2">
      <c r="A4" t="s">
        <v>50</v>
      </c>
      <c r="B4" t="s">
        <v>52</v>
      </c>
      <c r="C4" t="s">
        <v>47</v>
      </c>
      <c r="D4" t="s">
        <v>47</v>
      </c>
      <c r="E4" t="s">
        <v>48</v>
      </c>
      <c r="F4" t="s">
        <v>48</v>
      </c>
      <c r="G4" t="s">
        <v>92</v>
      </c>
      <c r="H4" t="s">
        <v>116</v>
      </c>
      <c r="I4" t="s">
        <v>39</v>
      </c>
      <c r="J4" t="s">
        <v>148</v>
      </c>
      <c r="K4" t="s">
        <v>83</v>
      </c>
      <c r="M4" t="s">
        <v>130</v>
      </c>
    </row>
    <row r="5" spans="1:13" x14ac:dyDescent="0.2">
      <c r="A5" t="s">
        <v>51</v>
      </c>
      <c r="B5" t="s">
        <v>32</v>
      </c>
      <c r="C5" t="s">
        <v>48</v>
      </c>
      <c r="D5" t="s">
        <v>48</v>
      </c>
      <c r="E5" t="s">
        <v>100</v>
      </c>
      <c r="F5" t="s">
        <v>100</v>
      </c>
      <c r="G5" t="s">
        <v>33</v>
      </c>
      <c r="H5" t="s">
        <v>117</v>
      </c>
      <c r="J5" t="s">
        <v>91</v>
      </c>
      <c r="K5" t="s">
        <v>84</v>
      </c>
      <c r="M5" t="s">
        <v>131</v>
      </c>
    </row>
    <row r="6" spans="1:13" x14ac:dyDescent="0.2">
      <c r="A6" t="s">
        <v>94</v>
      </c>
      <c r="B6" t="s">
        <v>25</v>
      </c>
      <c r="C6" t="s">
        <v>100</v>
      </c>
      <c r="D6" t="s">
        <v>100</v>
      </c>
      <c r="E6" t="s">
        <v>54</v>
      </c>
      <c r="F6" t="s">
        <v>54</v>
      </c>
      <c r="G6" t="s">
        <v>35</v>
      </c>
      <c r="I6" t="s">
        <v>95</v>
      </c>
      <c r="J6" t="s">
        <v>138</v>
      </c>
      <c r="M6" t="s">
        <v>132</v>
      </c>
    </row>
    <row r="7" spans="1:13" x14ac:dyDescent="0.2">
      <c r="B7" t="s">
        <v>26</v>
      </c>
      <c r="C7" t="s">
        <v>54</v>
      </c>
      <c r="D7" t="s">
        <v>54</v>
      </c>
      <c r="E7" t="s">
        <v>55</v>
      </c>
      <c r="F7" t="s">
        <v>55</v>
      </c>
      <c r="G7" t="s">
        <v>34</v>
      </c>
      <c r="H7" t="s">
        <v>95</v>
      </c>
      <c r="J7" t="s">
        <v>139</v>
      </c>
      <c r="K7" t="s">
        <v>95</v>
      </c>
      <c r="L7" t="s">
        <v>95</v>
      </c>
      <c r="M7" t="s">
        <v>133</v>
      </c>
    </row>
    <row r="8" spans="1:13" x14ac:dyDescent="0.2">
      <c r="A8" t="s">
        <v>95</v>
      </c>
      <c r="B8" t="s">
        <v>27</v>
      </c>
      <c r="C8" t="s">
        <v>55</v>
      </c>
      <c r="D8" t="s">
        <v>55</v>
      </c>
      <c r="E8" t="s">
        <v>109</v>
      </c>
      <c r="F8" t="s">
        <v>109</v>
      </c>
      <c r="G8" t="s">
        <v>109</v>
      </c>
      <c r="M8" t="s">
        <v>143</v>
      </c>
    </row>
    <row r="9" spans="1:13" x14ac:dyDescent="0.2">
      <c r="B9" t="s">
        <v>28</v>
      </c>
      <c r="C9" t="s">
        <v>115</v>
      </c>
      <c r="D9" t="s">
        <v>114</v>
      </c>
      <c r="J9" t="s">
        <v>95</v>
      </c>
      <c r="M9" t="s">
        <v>142</v>
      </c>
    </row>
    <row r="10" spans="1:13" x14ac:dyDescent="0.2">
      <c r="B10" t="s">
        <v>29</v>
      </c>
      <c r="C10" t="s">
        <v>125</v>
      </c>
      <c r="D10" t="s">
        <v>111</v>
      </c>
      <c r="E10" t="s">
        <v>95</v>
      </c>
      <c r="F10" t="s">
        <v>95</v>
      </c>
      <c r="G10" t="s">
        <v>95</v>
      </c>
    </row>
    <row r="11" spans="1:13" x14ac:dyDescent="0.2">
      <c r="B11" t="s">
        <v>30</v>
      </c>
      <c r="C11" t="s">
        <v>162</v>
      </c>
      <c r="M11" t="s">
        <v>95</v>
      </c>
    </row>
    <row r="12" spans="1:13" x14ac:dyDescent="0.2">
      <c r="B12" t="s">
        <v>31</v>
      </c>
      <c r="D12" t="s">
        <v>95</v>
      </c>
    </row>
    <row r="13" spans="1:13" x14ac:dyDescent="0.2">
      <c r="B13" t="s">
        <v>36</v>
      </c>
      <c r="C13" t="s">
        <v>95</v>
      </c>
    </row>
    <row r="14" spans="1:13" x14ac:dyDescent="0.2">
      <c r="B14" t="s">
        <v>37</v>
      </c>
    </row>
    <row r="16" spans="1:13" x14ac:dyDescent="0.2">
      <c r="B16" t="s">
        <v>95</v>
      </c>
    </row>
  </sheetData>
  <sortState xmlns:xlrd2="http://schemas.microsoft.com/office/spreadsheetml/2017/richdata2" ref="C3:C7">
    <sortCondition ref="C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53F29-FDE6-44A4-8BBB-DA99BE134205}">
  <sheetPr codeName="Sheet4"/>
  <dimension ref="C1:AX10"/>
  <sheetViews>
    <sheetView topLeftCell="Q1" workbookViewId="0">
      <selection activeCell="AE2" sqref="AE2"/>
    </sheetView>
  </sheetViews>
  <sheetFormatPr baseColWidth="10" defaultColWidth="8.83203125" defaultRowHeight="15" x14ac:dyDescent="0.2"/>
  <cols>
    <col min="2" max="2" width="2.6640625" customWidth="1"/>
    <col min="3" max="3" width="17.6640625" bestFit="1" customWidth="1"/>
    <col min="4" max="4" width="2" bestFit="1" customWidth="1"/>
    <col min="5" max="5" width="17.6640625" bestFit="1" customWidth="1"/>
    <col min="6" max="6" width="2" bestFit="1" customWidth="1"/>
    <col min="7" max="7" width="20" bestFit="1" customWidth="1"/>
    <col min="8" max="8" width="2" bestFit="1" customWidth="1"/>
    <col min="9" max="9" width="20" bestFit="1" customWidth="1"/>
    <col min="10" max="10" width="2" bestFit="1" customWidth="1"/>
    <col min="11" max="11" width="10.1640625" bestFit="1" customWidth="1"/>
    <col min="12" max="12" width="2" bestFit="1" customWidth="1"/>
    <col min="13" max="13" width="10.1640625" bestFit="1" customWidth="1"/>
    <col min="14" max="14" width="2" customWidth="1"/>
    <col min="15" max="15" width="17.6640625" bestFit="1" customWidth="1"/>
    <col min="16" max="16" width="2" bestFit="1" customWidth="1"/>
    <col min="17" max="17" width="16.83203125" bestFit="1" customWidth="1"/>
    <col min="18" max="18" width="2" bestFit="1" customWidth="1"/>
    <col min="19" max="19" width="12.83203125" bestFit="1" customWidth="1"/>
    <col min="20" max="20" width="2" bestFit="1" customWidth="1"/>
    <col min="21" max="21" width="21.1640625" bestFit="1" customWidth="1"/>
    <col min="22" max="22" width="2" bestFit="1" customWidth="1"/>
    <col min="23" max="23" width="10.1640625" bestFit="1" customWidth="1"/>
    <col min="24" max="24" width="2" bestFit="1" customWidth="1"/>
    <col min="26" max="26" width="2" bestFit="1" customWidth="1"/>
    <col min="28" max="28" width="2" bestFit="1" customWidth="1"/>
    <col min="29" max="29" width="15.33203125" bestFit="1" customWidth="1"/>
    <col min="30" max="30" width="2" bestFit="1" customWidth="1"/>
    <col min="31" max="31" width="20.83203125" bestFit="1" customWidth="1"/>
    <col min="32" max="32" width="2" bestFit="1" customWidth="1"/>
    <col min="33" max="33" width="20.83203125" bestFit="1" customWidth="1"/>
    <col min="34" max="34" width="2" bestFit="1" customWidth="1"/>
    <col min="35" max="35" width="20.83203125" bestFit="1" customWidth="1"/>
    <col min="36" max="36" width="2" bestFit="1" customWidth="1"/>
    <col min="37" max="37" width="19.33203125" bestFit="1" customWidth="1"/>
    <col min="38" max="38" width="2" bestFit="1" customWidth="1"/>
    <col min="39" max="39" width="13.33203125" bestFit="1" customWidth="1"/>
    <col min="40" max="40" width="2" bestFit="1" customWidth="1"/>
    <col min="41" max="41" width="15.33203125" bestFit="1" customWidth="1"/>
    <col min="42" max="42" width="2" bestFit="1" customWidth="1"/>
    <col min="43" max="43" width="10.1640625" bestFit="1" customWidth="1"/>
    <col min="44" max="44" width="2" customWidth="1"/>
    <col min="45" max="45" width="19.33203125" bestFit="1" customWidth="1"/>
    <col min="46" max="46" width="2" bestFit="1" customWidth="1"/>
    <col min="47" max="47" width="15.5" bestFit="1" customWidth="1"/>
    <col min="48" max="48" width="2" bestFit="1" customWidth="1"/>
    <col min="49" max="49" width="17.33203125" bestFit="1" customWidth="1"/>
    <col min="50" max="50" width="2" bestFit="1" customWidth="1"/>
  </cols>
  <sheetData>
    <row r="1" spans="3:50" x14ac:dyDescent="0.2">
      <c r="C1" t="s">
        <v>47</v>
      </c>
      <c r="E1" t="s">
        <v>48</v>
      </c>
      <c r="G1" t="s">
        <v>54</v>
      </c>
      <c r="I1" t="s">
        <v>55</v>
      </c>
      <c r="K1" t="s">
        <v>75</v>
      </c>
      <c r="M1" t="s">
        <v>148</v>
      </c>
      <c r="O1" t="s">
        <v>49</v>
      </c>
      <c r="Q1" t="s">
        <v>50</v>
      </c>
      <c r="S1" t="s">
        <v>51</v>
      </c>
      <c r="U1" t="s">
        <v>94</v>
      </c>
      <c r="W1" t="s">
        <v>91</v>
      </c>
      <c r="Y1" t="s">
        <v>151</v>
      </c>
      <c r="AA1" t="s">
        <v>92</v>
      </c>
      <c r="AC1" t="s">
        <v>111</v>
      </c>
      <c r="AE1" t="s">
        <v>115</v>
      </c>
      <c r="AG1" t="s">
        <v>125</v>
      </c>
      <c r="AI1" t="s">
        <v>162</v>
      </c>
      <c r="AK1" t="s">
        <v>132</v>
      </c>
      <c r="AM1" t="s">
        <v>138</v>
      </c>
      <c r="AO1" t="s">
        <v>139</v>
      </c>
      <c r="AQ1" t="s">
        <v>156</v>
      </c>
      <c r="AS1" t="s">
        <v>142</v>
      </c>
      <c r="AU1" t="s">
        <v>143</v>
      </c>
      <c r="AW1" t="s">
        <v>144</v>
      </c>
    </row>
    <row r="2" spans="3:50" x14ac:dyDescent="0.2">
      <c r="C2" t="s">
        <v>24</v>
      </c>
      <c r="D2">
        <v>1</v>
      </c>
      <c r="E2" t="s">
        <v>24</v>
      </c>
      <c r="F2">
        <v>1</v>
      </c>
      <c r="G2" t="s">
        <v>63</v>
      </c>
      <c r="H2">
        <v>1</v>
      </c>
      <c r="I2" t="s">
        <v>63</v>
      </c>
      <c r="J2">
        <v>1</v>
      </c>
      <c r="K2" t="s">
        <v>76</v>
      </c>
      <c r="L2">
        <v>1</v>
      </c>
      <c r="M2" t="s">
        <v>76</v>
      </c>
      <c r="N2">
        <v>1</v>
      </c>
      <c r="O2" t="s">
        <v>89</v>
      </c>
      <c r="P2">
        <v>1</v>
      </c>
      <c r="Q2" t="s">
        <v>89</v>
      </c>
      <c r="R2">
        <v>1</v>
      </c>
      <c r="S2" t="s">
        <v>89</v>
      </c>
      <c r="T2">
        <v>1</v>
      </c>
      <c r="U2" t="s">
        <v>89</v>
      </c>
      <c r="V2">
        <v>1</v>
      </c>
      <c r="W2" t="s">
        <v>76</v>
      </c>
      <c r="X2">
        <v>1</v>
      </c>
      <c r="Y2" t="s">
        <v>76</v>
      </c>
      <c r="Z2">
        <v>1</v>
      </c>
      <c r="AA2" t="s">
        <v>76</v>
      </c>
      <c r="AB2">
        <v>1</v>
      </c>
      <c r="AC2" t="s">
        <v>76</v>
      </c>
      <c r="AD2">
        <v>1</v>
      </c>
      <c r="AE2" t="s">
        <v>24</v>
      </c>
      <c r="AF2">
        <v>1</v>
      </c>
      <c r="AG2" t="s">
        <v>24</v>
      </c>
      <c r="AH2">
        <v>1</v>
      </c>
      <c r="AI2" t="s">
        <v>24</v>
      </c>
      <c r="AJ2">
        <v>1</v>
      </c>
      <c r="AK2" t="s">
        <v>101</v>
      </c>
      <c r="AL2">
        <v>1</v>
      </c>
      <c r="AM2" t="s">
        <v>80</v>
      </c>
      <c r="AN2">
        <v>1</v>
      </c>
      <c r="AO2" t="s">
        <v>80</v>
      </c>
      <c r="AP2">
        <v>1</v>
      </c>
      <c r="AQ2" t="s">
        <v>80</v>
      </c>
      <c r="AR2">
        <v>1</v>
      </c>
      <c r="AS2" t="s">
        <v>101</v>
      </c>
      <c r="AT2">
        <v>1</v>
      </c>
      <c r="AU2" t="s">
        <v>101</v>
      </c>
      <c r="AV2">
        <v>1</v>
      </c>
      <c r="AW2" t="s">
        <v>101</v>
      </c>
      <c r="AX2">
        <v>1</v>
      </c>
    </row>
    <row r="3" spans="3:50" x14ac:dyDescent="0.2">
      <c r="G3" t="s">
        <v>68</v>
      </c>
      <c r="H3">
        <v>1</v>
      </c>
      <c r="I3" t="s">
        <v>68</v>
      </c>
      <c r="J3">
        <v>1</v>
      </c>
      <c r="K3" t="s">
        <v>78</v>
      </c>
      <c r="L3">
        <v>2</v>
      </c>
      <c r="M3" t="s">
        <v>78</v>
      </c>
      <c r="N3">
        <v>2</v>
      </c>
      <c r="O3" t="s">
        <v>89</v>
      </c>
      <c r="P3">
        <v>2</v>
      </c>
      <c r="Q3" t="s">
        <v>89</v>
      </c>
      <c r="R3">
        <v>2</v>
      </c>
      <c r="S3" t="s">
        <v>89</v>
      </c>
      <c r="T3">
        <v>2</v>
      </c>
      <c r="U3" t="s">
        <v>89</v>
      </c>
      <c r="V3">
        <v>2</v>
      </c>
      <c r="W3" t="s">
        <v>80</v>
      </c>
      <c r="X3">
        <v>2</v>
      </c>
      <c r="Y3" t="s">
        <v>101</v>
      </c>
      <c r="Z3">
        <v>2</v>
      </c>
      <c r="AA3" t="s">
        <v>101</v>
      </c>
      <c r="AB3">
        <v>2</v>
      </c>
      <c r="AE3" t="s">
        <v>121</v>
      </c>
      <c r="AF3">
        <v>2</v>
      </c>
      <c r="AG3" t="s">
        <v>121</v>
      </c>
      <c r="AH3">
        <v>2</v>
      </c>
      <c r="AI3" t="s">
        <v>121</v>
      </c>
      <c r="AJ3">
        <v>2</v>
      </c>
      <c r="AK3" t="s">
        <v>101</v>
      </c>
      <c r="AL3">
        <v>2</v>
      </c>
      <c r="AM3" t="s">
        <v>80</v>
      </c>
      <c r="AN3">
        <v>2</v>
      </c>
      <c r="AO3" t="s">
        <v>80</v>
      </c>
      <c r="AP3">
        <v>2</v>
      </c>
      <c r="AQ3" t="s">
        <v>80</v>
      </c>
      <c r="AR3">
        <v>2</v>
      </c>
      <c r="AS3" t="s">
        <v>101</v>
      </c>
      <c r="AT3">
        <v>2</v>
      </c>
      <c r="AU3" t="s">
        <v>101</v>
      </c>
      <c r="AV3">
        <v>2</v>
      </c>
      <c r="AW3" t="s">
        <v>101</v>
      </c>
      <c r="AX3">
        <v>2</v>
      </c>
    </row>
    <row r="4" spans="3:50" x14ac:dyDescent="0.2">
      <c r="G4" t="s">
        <v>63</v>
      </c>
      <c r="H4">
        <v>2</v>
      </c>
      <c r="I4" t="s">
        <v>63</v>
      </c>
      <c r="J4">
        <v>2</v>
      </c>
      <c r="K4" t="s">
        <v>80</v>
      </c>
      <c r="L4">
        <v>3</v>
      </c>
      <c r="M4" t="s">
        <v>80</v>
      </c>
      <c r="N4">
        <v>3</v>
      </c>
      <c r="W4" t="s">
        <v>80</v>
      </c>
      <c r="X4">
        <v>3</v>
      </c>
      <c r="Y4" t="s">
        <v>101</v>
      </c>
      <c r="Z4">
        <v>3</v>
      </c>
      <c r="AA4" t="s">
        <v>101</v>
      </c>
      <c r="AB4">
        <v>3</v>
      </c>
      <c r="AE4" t="s">
        <v>121</v>
      </c>
      <c r="AF4">
        <v>3</v>
      </c>
      <c r="AG4" t="s">
        <v>121</v>
      </c>
      <c r="AH4">
        <v>3</v>
      </c>
      <c r="AI4" t="s">
        <v>121</v>
      </c>
      <c r="AJ4">
        <v>3</v>
      </c>
      <c r="AM4" t="s">
        <v>80</v>
      </c>
      <c r="AN4">
        <v>3</v>
      </c>
      <c r="AO4" t="s">
        <v>80</v>
      </c>
      <c r="AP4">
        <v>3</v>
      </c>
      <c r="AQ4" t="s">
        <v>80</v>
      </c>
      <c r="AR4">
        <v>3</v>
      </c>
      <c r="AS4" t="s">
        <v>101</v>
      </c>
      <c r="AT4">
        <v>3</v>
      </c>
      <c r="AU4" t="s">
        <v>101</v>
      </c>
      <c r="AV4">
        <v>3</v>
      </c>
      <c r="AW4" t="s">
        <v>101</v>
      </c>
      <c r="AX4">
        <v>3</v>
      </c>
    </row>
    <row r="5" spans="3:50" x14ac:dyDescent="0.2">
      <c r="G5" t="s">
        <v>68</v>
      </c>
      <c r="H5">
        <v>2</v>
      </c>
      <c r="I5" t="s">
        <v>68</v>
      </c>
      <c r="J5">
        <v>2</v>
      </c>
      <c r="K5" t="s">
        <v>80</v>
      </c>
      <c r="L5">
        <v>4</v>
      </c>
      <c r="M5" t="s">
        <v>80</v>
      </c>
      <c r="N5">
        <v>4</v>
      </c>
      <c r="W5" t="s">
        <v>80</v>
      </c>
      <c r="X5">
        <v>4</v>
      </c>
      <c r="Y5" t="s">
        <v>101</v>
      </c>
      <c r="Z5">
        <v>4</v>
      </c>
      <c r="AA5" t="s">
        <v>101</v>
      </c>
      <c r="AB5">
        <v>4</v>
      </c>
      <c r="AE5" t="s">
        <v>121</v>
      </c>
      <c r="AF5">
        <v>4</v>
      </c>
      <c r="AG5" t="s">
        <v>121</v>
      </c>
      <c r="AH5">
        <v>4</v>
      </c>
      <c r="AI5" t="s">
        <v>121</v>
      </c>
      <c r="AJ5">
        <v>4</v>
      </c>
      <c r="AM5" t="s">
        <v>80</v>
      </c>
      <c r="AN5">
        <v>4</v>
      </c>
      <c r="AO5" t="s">
        <v>80</v>
      </c>
      <c r="AP5">
        <v>4</v>
      </c>
      <c r="AQ5" t="s">
        <v>80</v>
      </c>
      <c r="AR5">
        <v>4</v>
      </c>
      <c r="AW5" t="s">
        <v>101</v>
      </c>
      <c r="AX5">
        <v>4</v>
      </c>
    </row>
    <row r="6" spans="3:50" x14ac:dyDescent="0.2">
      <c r="M6" t="s">
        <v>80</v>
      </c>
      <c r="N6">
        <v>5</v>
      </c>
      <c r="Y6" t="s">
        <v>101</v>
      </c>
      <c r="Z6">
        <v>5</v>
      </c>
      <c r="AA6" t="s">
        <v>101</v>
      </c>
      <c r="AB6">
        <v>5</v>
      </c>
      <c r="AM6" t="s">
        <v>76</v>
      </c>
      <c r="AN6">
        <v>5</v>
      </c>
      <c r="AO6" t="s">
        <v>76</v>
      </c>
      <c r="AP6">
        <v>5</v>
      </c>
    </row>
    <row r="7" spans="3:50" x14ac:dyDescent="0.2">
      <c r="M7" t="s">
        <v>80</v>
      </c>
      <c r="N7">
        <v>6</v>
      </c>
      <c r="Y7" t="s">
        <v>101</v>
      </c>
      <c r="Z7">
        <v>6</v>
      </c>
      <c r="AA7" t="s">
        <v>101</v>
      </c>
      <c r="AB7">
        <v>6</v>
      </c>
      <c r="AM7" t="s">
        <v>80</v>
      </c>
      <c r="AN7">
        <v>6</v>
      </c>
      <c r="AO7" t="s">
        <v>80</v>
      </c>
      <c r="AP7">
        <v>6</v>
      </c>
    </row>
    <row r="8" spans="3:50" x14ac:dyDescent="0.2">
      <c r="Y8" t="s">
        <v>101</v>
      </c>
      <c r="Z8">
        <v>7</v>
      </c>
      <c r="AA8" t="s">
        <v>101</v>
      </c>
      <c r="AB8">
        <v>7</v>
      </c>
      <c r="AM8" t="s">
        <v>78</v>
      </c>
      <c r="AN8">
        <v>7</v>
      </c>
      <c r="AO8" t="s">
        <v>78</v>
      </c>
      <c r="AP8">
        <v>7</v>
      </c>
    </row>
    <row r="9" spans="3:50" x14ac:dyDescent="0.2">
      <c r="Y9" t="s">
        <v>101</v>
      </c>
      <c r="Z9">
        <v>8</v>
      </c>
      <c r="AA9" t="s">
        <v>101</v>
      </c>
      <c r="AB9">
        <v>8</v>
      </c>
      <c r="AM9" t="s">
        <v>101</v>
      </c>
      <c r="AN9">
        <v>8</v>
      </c>
      <c r="AO9" t="s">
        <v>101</v>
      </c>
      <c r="AP9">
        <v>8</v>
      </c>
    </row>
    <row r="10" spans="3:50" x14ac:dyDescent="0.2">
      <c r="Y10" t="s">
        <v>101</v>
      </c>
      <c r="Z10">
        <v>9</v>
      </c>
      <c r="AA10" t="s">
        <v>101</v>
      </c>
      <c r="AB10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96F94-6AAB-4174-9787-24DA7598F8D7}">
  <sheetPr codeName="Sheet5"/>
  <dimension ref="A1:I31"/>
  <sheetViews>
    <sheetView workbookViewId="0">
      <selection activeCell="H21" sqref="H21"/>
    </sheetView>
  </sheetViews>
  <sheetFormatPr baseColWidth="10" defaultColWidth="8.83203125" defaultRowHeight="15" x14ac:dyDescent="0.2"/>
  <cols>
    <col min="1" max="1" width="16.83203125" bestFit="1" customWidth="1"/>
    <col min="2" max="2" width="18" customWidth="1"/>
    <col min="3" max="3" width="21.5" bestFit="1" customWidth="1"/>
    <col min="4" max="4" width="19.5" bestFit="1" customWidth="1"/>
    <col min="5" max="5" width="12.5" bestFit="1" customWidth="1"/>
    <col min="6" max="6" width="16.33203125" bestFit="1" customWidth="1"/>
    <col min="7" max="7" width="14.5" bestFit="1" customWidth="1"/>
    <col min="8" max="8" width="26.33203125" bestFit="1" customWidth="1"/>
    <col min="9" max="9" width="16" bestFit="1" customWidth="1"/>
  </cols>
  <sheetData>
    <row r="1" spans="1:9" x14ac:dyDescent="0.2">
      <c r="A1" t="s">
        <v>24</v>
      </c>
      <c r="B1" t="s">
        <v>63</v>
      </c>
      <c r="C1" t="s">
        <v>68</v>
      </c>
      <c r="D1" t="s">
        <v>76</v>
      </c>
      <c r="E1" t="s">
        <v>78</v>
      </c>
      <c r="F1" t="s">
        <v>80</v>
      </c>
      <c r="G1" t="s">
        <v>89</v>
      </c>
      <c r="H1" t="s">
        <v>101</v>
      </c>
      <c r="I1" t="s">
        <v>121</v>
      </c>
    </row>
    <row r="3" spans="1:9" x14ac:dyDescent="0.2">
      <c r="A3" t="s">
        <v>42</v>
      </c>
      <c r="B3" t="s">
        <v>64</v>
      </c>
      <c r="C3" t="s">
        <v>69</v>
      </c>
      <c r="D3" t="s">
        <v>77</v>
      </c>
      <c r="E3" t="s">
        <v>79</v>
      </c>
      <c r="F3" t="s">
        <v>85</v>
      </c>
      <c r="G3" t="s">
        <v>90</v>
      </c>
      <c r="H3" t="s">
        <v>85</v>
      </c>
      <c r="I3" t="s">
        <v>122</v>
      </c>
    </row>
    <row r="4" spans="1:9" x14ac:dyDescent="0.2">
      <c r="A4" t="s">
        <v>46</v>
      </c>
      <c r="B4" t="s">
        <v>65</v>
      </c>
      <c r="C4" t="s">
        <v>70</v>
      </c>
      <c r="D4" t="s">
        <v>141</v>
      </c>
      <c r="F4" t="s">
        <v>88</v>
      </c>
      <c r="G4" t="s">
        <v>153</v>
      </c>
      <c r="H4" t="s">
        <v>88</v>
      </c>
      <c r="I4" t="s">
        <v>123</v>
      </c>
    </row>
    <row r="5" spans="1:9" x14ac:dyDescent="0.2">
      <c r="A5" t="s">
        <v>43</v>
      </c>
      <c r="B5" t="s">
        <v>66</v>
      </c>
      <c r="C5" t="s">
        <v>71</v>
      </c>
      <c r="D5" t="s">
        <v>107</v>
      </c>
      <c r="E5" t="s">
        <v>95</v>
      </c>
      <c r="F5" t="s">
        <v>140</v>
      </c>
      <c r="G5" t="s">
        <v>154</v>
      </c>
      <c r="H5" t="s">
        <v>93</v>
      </c>
      <c r="I5" t="s">
        <v>119</v>
      </c>
    </row>
    <row r="6" spans="1:9" x14ac:dyDescent="0.2">
      <c r="A6" t="s">
        <v>44</v>
      </c>
      <c r="B6" t="s">
        <v>67</v>
      </c>
      <c r="D6" t="s">
        <v>110</v>
      </c>
      <c r="F6" t="s">
        <v>137</v>
      </c>
      <c r="H6" t="s">
        <v>102</v>
      </c>
      <c r="I6" t="s">
        <v>124</v>
      </c>
    </row>
    <row r="7" spans="1:9" x14ac:dyDescent="0.2">
      <c r="A7" t="s">
        <v>45</v>
      </c>
      <c r="F7" t="s">
        <v>93</v>
      </c>
      <c r="G7" t="s">
        <v>95</v>
      </c>
      <c r="H7" t="s">
        <v>42</v>
      </c>
      <c r="I7" t="s">
        <v>126</v>
      </c>
    </row>
    <row r="8" spans="1:9" x14ac:dyDescent="0.2">
      <c r="A8" t="s">
        <v>118</v>
      </c>
      <c r="D8" t="s">
        <v>95</v>
      </c>
      <c r="F8" t="s">
        <v>109</v>
      </c>
      <c r="H8" t="s">
        <v>46</v>
      </c>
      <c r="I8" t="s">
        <v>155</v>
      </c>
    </row>
    <row r="9" spans="1:9" x14ac:dyDescent="0.2">
      <c r="A9" t="s">
        <v>108</v>
      </c>
      <c r="F9" t="s">
        <v>136</v>
      </c>
      <c r="H9" t="s">
        <v>43</v>
      </c>
    </row>
    <row r="10" spans="1:9" x14ac:dyDescent="0.2">
      <c r="H10" t="s">
        <v>44</v>
      </c>
      <c r="I10" t="s">
        <v>95</v>
      </c>
    </row>
    <row r="11" spans="1:9" x14ac:dyDescent="0.2">
      <c r="F11" t="s">
        <v>95</v>
      </c>
      <c r="H11" t="s">
        <v>45</v>
      </c>
    </row>
    <row r="12" spans="1:9" x14ac:dyDescent="0.2">
      <c r="H12" t="s">
        <v>118</v>
      </c>
    </row>
    <row r="13" spans="1:9" x14ac:dyDescent="0.2">
      <c r="H13" t="s">
        <v>119</v>
      </c>
    </row>
    <row r="14" spans="1:9" x14ac:dyDescent="0.2">
      <c r="H14" t="s">
        <v>108</v>
      </c>
    </row>
    <row r="15" spans="1:9" x14ac:dyDescent="0.2">
      <c r="H15" t="s">
        <v>157</v>
      </c>
    </row>
    <row r="16" spans="1:9" x14ac:dyDescent="0.2">
      <c r="H16" t="s">
        <v>158</v>
      </c>
    </row>
    <row r="17" spans="8:8" x14ac:dyDescent="0.2">
      <c r="H17" t="s">
        <v>159</v>
      </c>
    </row>
    <row r="18" spans="8:8" x14ac:dyDescent="0.2">
      <c r="H18" t="s">
        <v>120</v>
      </c>
    </row>
    <row r="19" spans="8:8" x14ac:dyDescent="0.2">
      <c r="H19" t="s">
        <v>103</v>
      </c>
    </row>
    <row r="20" spans="8:8" x14ac:dyDescent="0.2">
      <c r="H20" t="s">
        <v>161</v>
      </c>
    </row>
    <row r="21" spans="8:8" x14ac:dyDescent="0.2">
      <c r="H21" t="s">
        <v>104</v>
      </c>
    </row>
    <row r="22" spans="8:8" x14ac:dyDescent="0.2">
      <c r="H22" t="s">
        <v>105</v>
      </c>
    </row>
    <row r="23" spans="8:8" x14ac:dyDescent="0.2">
      <c r="H23" t="s">
        <v>106</v>
      </c>
    </row>
    <row r="24" spans="8:8" x14ac:dyDescent="0.2">
      <c r="H24" t="s">
        <v>134</v>
      </c>
    </row>
    <row r="25" spans="8:8" x14ac:dyDescent="0.2">
      <c r="H25" t="s">
        <v>135</v>
      </c>
    </row>
    <row r="26" spans="8:8" x14ac:dyDescent="0.2">
      <c r="H26" t="s">
        <v>109</v>
      </c>
    </row>
    <row r="27" spans="8:8" x14ac:dyDescent="0.2">
      <c r="H27" t="s">
        <v>136</v>
      </c>
    </row>
    <row r="28" spans="8:8" x14ac:dyDescent="0.2">
      <c r="H28" t="s">
        <v>145</v>
      </c>
    </row>
    <row r="29" spans="8:8" x14ac:dyDescent="0.2">
      <c r="H29" t="s">
        <v>160</v>
      </c>
    </row>
    <row r="31" spans="8:8" x14ac:dyDescent="0.2">
      <c r="H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32</vt:i4>
      </vt:variant>
    </vt:vector>
  </HeadingPairs>
  <TitlesOfParts>
    <vt:vector size="37" baseType="lpstr">
      <vt:lpstr>LevelGenTestExport</vt:lpstr>
      <vt:lpstr>RoomLocs</vt:lpstr>
      <vt:lpstr>Assets</vt:lpstr>
      <vt:lpstr>AssetLocs</vt:lpstr>
      <vt:lpstr>SubAssets</vt:lpstr>
      <vt:lpstr>Bed</vt:lpstr>
      <vt:lpstr>BedsideFoot</vt:lpstr>
      <vt:lpstr>BedsideHead</vt:lpstr>
      <vt:lpstr>BedsideHeadLeft</vt:lpstr>
      <vt:lpstr>BedsideMid</vt:lpstr>
      <vt:lpstr>Bin</vt:lpstr>
      <vt:lpstr>Cabinet</vt:lpstr>
      <vt:lpstr>Cart</vt:lpstr>
      <vt:lpstr>Chair</vt:lpstr>
      <vt:lpstr>Computer</vt:lpstr>
      <vt:lpstr>Desk</vt:lpstr>
      <vt:lpstr>Document</vt:lpstr>
      <vt:lpstr>InfusionBag</vt:lpstr>
      <vt:lpstr>InfusionBottle</vt:lpstr>
      <vt:lpstr>InfusionBottleLiquid</vt:lpstr>
      <vt:lpstr>IV</vt:lpstr>
      <vt:lpstr>Misc</vt:lpstr>
      <vt:lpstr>Nurse</vt:lpstr>
      <vt:lpstr>Patient</vt:lpstr>
      <vt:lpstr>Phone</vt:lpstr>
      <vt:lpstr>RoomLrgDoubleWard_base_locs</vt:lpstr>
      <vt:lpstr>RoomLrgPatient_bas_locs</vt:lpstr>
      <vt:lpstr>RoomMedBreak_3couch_locs</vt:lpstr>
      <vt:lpstr>RoomMedExam_3bed_locs</vt:lpstr>
      <vt:lpstr>RoomMedExam_base_locs</vt:lpstr>
      <vt:lpstr>RoomMedOffice_base_locs</vt:lpstr>
      <vt:lpstr>RoomMedPatient_3bed_locs</vt:lpstr>
      <vt:lpstr>RoomSmlStorage_base_locs</vt:lpstr>
      <vt:lpstr>RoomXLGPatient_Base_locs</vt:lpstr>
      <vt:lpstr>RoomXLGWaiting_base_locs</vt:lpstr>
      <vt:lpstr>Screen</vt:lpstr>
      <vt:lpstr>Wall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Rowe</dc:creator>
  <cp:lastModifiedBy>Microsoft Office User</cp:lastModifiedBy>
  <dcterms:created xsi:type="dcterms:W3CDTF">2015-06-05T18:17:20Z</dcterms:created>
  <dcterms:modified xsi:type="dcterms:W3CDTF">2022-08-03T19:35:01Z</dcterms:modified>
</cp:coreProperties>
</file>